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defaultThemeVersion="124226"/>
  <mc:AlternateContent xmlns:mc="http://schemas.openxmlformats.org/markup-compatibility/2006">
    <mc:Choice Requires="x15">
      <x15ac:absPath xmlns:x15ac="http://schemas.microsoft.com/office/spreadsheetml/2010/11/ac" url="https://infraco740-my.sharepoint.com/personal/arash_infraco_com_au/Documents/Infraco Projects/17-Sippy Creek Collections Depot Building Replacement #15072/"/>
    </mc:Choice>
  </mc:AlternateContent>
  <xr:revisionPtr revIDLastSave="4" documentId="8_{5D446020-8618-4653-AC4B-F550ADE131B9}" xr6:coauthVersionLast="47" xr6:coauthVersionMax="47" xr10:uidLastSave="{29A4D2EE-B544-4B8B-A814-35A76E33AF67}"/>
  <bookViews>
    <workbookView xWindow="-120" yWindow="-120" windowWidth="29040" windowHeight="15840" xr2:uid="{00000000-000D-0000-FFFF-FFFF00000000}"/>
  </bookViews>
  <sheets>
    <sheet name="Sippy Downs Depot" sheetId="3" r:id="rId1"/>
  </sheets>
  <definedNames>
    <definedName name="_xlnm.Print_Area" localSheetId="0">'Sippy Downs Depot'!$A$1:$F$107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05" i="3" l="1"/>
  <c r="C99" i="3"/>
  <c r="C89" i="3"/>
  <c r="A83" i="3"/>
  <c r="A84" i="3" s="1"/>
  <c r="A85" i="3" s="1"/>
  <c r="A86" i="3" s="1"/>
  <c r="A87" i="3" s="1"/>
  <c r="A88" i="3" s="1"/>
  <c r="A101" i="3"/>
  <c r="A102" i="3" s="1"/>
  <c r="C81" i="3"/>
  <c r="C77" i="3"/>
  <c r="C73" i="3"/>
  <c r="C68" i="3"/>
  <c r="C60" i="3"/>
  <c r="C52" i="3"/>
  <c r="C38" i="3"/>
  <c r="C32" i="3"/>
  <c r="A91" i="3"/>
  <c r="A92" i="3" s="1"/>
  <c r="A93" i="3" s="1"/>
  <c r="A94" i="3" s="1"/>
  <c r="A95" i="3" s="1"/>
  <c r="A96" i="3" s="1"/>
  <c r="A97" i="3" s="1"/>
  <c r="A98" i="3" s="1"/>
  <c r="C122" i="3"/>
  <c r="A34" i="3"/>
  <c r="A35" i="3" s="1"/>
  <c r="A36" i="3" s="1"/>
  <c r="A37" i="3" s="1"/>
  <c r="A79" i="3"/>
  <c r="A80" i="3" s="1"/>
  <c r="A75" i="3"/>
  <c r="A76" i="3" s="1"/>
  <c r="A70" i="3"/>
  <c r="A71" i="3" s="1"/>
  <c r="A72" i="3" s="1"/>
  <c r="A62" i="3"/>
  <c r="A63" i="3" s="1"/>
  <c r="A64" i="3" s="1"/>
  <c r="A65" i="3" s="1"/>
  <c r="A66" i="3" s="1"/>
  <c r="A67" i="3" s="1"/>
  <c r="A54" i="3"/>
  <c r="A55" i="3" s="1"/>
  <c r="A56" i="3" s="1"/>
  <c r="A57" i="3" s="1"/>
  <c r="A58" i="3" s="1"/>
  <c r="A59" i="3" s="1"/>
  <c r="A45" i="3"/>
  <c r="A46" i="3" s="1"/>
  <c r="A47" i="3" s="1"/>
  <c r="A48" i="3" s="1"/>
  <c r="A49" i="3" s="1"/>
  <c r="A50" i="3" s="1"/>
  <c r="A51" i="3" s="1"/>
  <c r="A40" i="3"/>
  <c r="A41" i="3" s="1"/>
  <c r="A42" i="3" s="1"/>
  <c r="A16" i="3"/>
  <c r="A17" i="3" s="1"/>
  <c r="A18" i="3" s="1"/>
  <c r="A19" i="3" s="1"/>
  <c r="A20" i="3" s="1"/>
  <c r="A21" i="3" s="1"/>
  <c r="A22" i="3" s="1"/>
  <c r="A23" i="3" s="1"/>
  <c r="A24" i="3" s="1"/>
  <c r="A25" i="3" s="1"/>
  <c r="A26" i="3" s="1"/>
  <c r="A27" i="3" s="1"/>
  <c r="A28" i="3" s="1"/>
  <c r="A29" i="3" s="1"/>
  <c r="A30" i="3" s="1"/>
  <c r="A31" i="3" s="1"/>
  <c r="C12" i="3" l="1"/>
  <c r="C115" i="3" l="1"/>
  <c r="C43" i="3"/>
  <c r="C103" i="3"/>
  <c r="C106" i="3" l="1"/>
  <c r="C107" i="3" s="1"/>
</calcChain>
</file>

<file path=xl/sharedStrings.xml><?xml version="1.0" encoding="utf-8"?>
<sst xmlns="http://schemas.openxmlformats.org/spreadsheetml/2006/main" count="117" uniqueCount="100">
  <si>
    <t>Total (Excl GST)</t>
  </si>
  <si>
    <t>Description</t>
  </si>
  <si>
    <t>Item</t>
  </si>
  <si>
    <t>Sub Total GST Exclusive</t>
  </si>
  <si>
    <t>Total GST</t>
  </si>
  <si>
    <t>Schedule 6 - Appendix 2 - Pricing Schedule</t>
  </si>
  <si>
    <t>This is a lump sum contract.  This is not a schedule of rates contract.
If tendering for this Separable Portion, Respondents must submit a lump sum price for the entire works required for successful completion of this Separable Portion.
Respondents must  complete the Pricing Breakdown, indicating the amounts and price for each line Item in the schedule.  
While Council may provide estimates for the quantity of line Items in the Pricing Breakdown, these are estimates of quantity only and should not be relied upon as the actual quantity of the Item required.  Identification of the quantity required and the price for each Item is the absolute responsibility of the Respondent.
Respondents are advised the Pricing Breakdown will be used to provide a guide for progress payments and will be relied upon in the event of any contract variations.</t>
  </si>
  <si>
    <t>Demolition</t>
  </si>
  <si>
    <t>Electrical</t>
  </si>
  <si>
    <t>Testing and Commissioning</t>
  </si>
  <si>
    <t>Total Lump Sum GST Exclusive</t>
  </si>
  <si>
    <t>Total Lump Sum GST Inclusive</t>
  </si>
  <si>
    <r>
      <t xml:space="preserve">Unmeasured Items
</t>
    </r>
    <r>
      <rPr>
        <sz val="9"/>
        <rFont val="Arial"/>
        <family val="2"/>
      </rPr>
      <t xml:space="preserve">Respondents are to allow here for any items not specifically measured above, but which the Respondent deems necessary to complete the works in accordance with the drawings and specification.  
These items will not necessarily be accepted by the Principal. </t>
    </r>
  </si>
  <si>
    <t>Contract Number: Q</t>
  </si>
  <si>
    <t>Contract Name: Shed Refurbishment - Sippy Downs Depot</t>
  </si>
  <si>
    <t>Environmental Management: Dust and noise management including design, installation, operation, management and maintenance in accordance with the Contract Standards.</t>
  </si>
  <si>
    <t>Cleaning and Demobilising:  Builders clean and detailed final clean, and make good affected existing facilities and infrastructure.</t>
  </si>
  <si>
    <t>Supervision of site including all contractor management staffing required allowing for all necessary insurances, submissions, site diary records, providing notice for inspections, conducting site meetings and the like.</t>
  </si>
  <si>
    <t>Shed Refurbishment - Sippy Downs Depot</t>
  </si>
  <si>
    <t>Remove existing ceiling joists and retain for re-use.</t>
  </si>
  <si>
    <t>Remove all existing urinals, showers and hand basins and cap redundant services.</t>
  </si>
  <si>
    <t>Remove existing windows and retain for re-use.</t>
  </si>
  <si>
    <t>Remove and dispose of existing roof sheeting.</t>
  </si>
  <si>
    <t>Remove and dispose of existing sanitary drainage and penetrations through masonry walls.</t>
  </si>
  <si>
    <t>Remove and dispose of existing cladding (internal and external) and associated stud framing.</t>
  </si>
  <si>
    <t>Remove and dispose of portions of existing masonry wall to allow for new openings.</t>
  </si>
  <si>
    <t>Remove and dispose of existing doors.</t>
  </si>
  <si>
    <t>Treat all existing steel members with wire brush, approved rust converter and an approved protective coating system.  Replace deteriorated bolts/nuts as required.</t>
  </si>
  <si>
    <t>Remove redundant floor wastes and provide localised concrete patching to slab as required.</t>
  </si>
  <si>
    <t>Preliminaries</t>
  </si>
  <si>
    <t>Flooring</t>
  </si>
  <si>
    <t>Roofing</t>
  </si>
  <si>
    <t>Plumbing</t>
  </si>
  <si>
    <t>Internal Linings</t>
  </si>
  <si>
    <t>Structural Steel</t>
  </si>
  <si>
    <t>Windows and Doors</t>
  </si>
  <si>
    <t xml:space="preserve">Supply and install new steel stud framed walls </t>
  </si>
  <si>
    <t>Supply and install new FC linings to walls and ceiling</t>
  </si>
  <si>
    <t>Install ceiling joists (reuse of existing)</t>
  </si>
  <si>
    <t>Provisional Items</t>
  </si>
  <si>
    <t>If necessary, supply and install new windows.</t>
  </si>
  <si>
    <t>If necessary, supply and install new joists.</t>
  </si>
  <si>
    <t>Painting</t>
  </si>
  <si>
    <t>External Wall Framing and Cladding</t>
  </si>
  <si>
    <t>Decommission, remove and dispose of existing fuel bowser isolator and associated circuit protection.</t>
  </si>
  <si>
    <t>Decommission, remove and dispose of existing effluent holding tank.</t>
  </si>
  <si>
    <t>Site Establishment (construction signs, temporary fencing/barricades, amenities, insurances, inspections, and attendance to client requirements).</t>
  </si>
  <si>
    <t>Decommission, remove and dispose of existing water heater equipment, circuit and associated circuit protection.</t>
  </si>
  <si>
    <t>Disconnect and retain existing fuel bowser circuit, isolator and associated circuit protection from main switchboard. Retain for reconnection to new depot shed distribution board. Fuel bowsers to be kept operational during refurbishment works.</t>
  </si>
  <si>
    <t>Disconnect and retain switchwire and conduit between amenities and shade structure. Retain batten luminaires in shade structure for reconnection to new depot shed distribution board.</t>
  </si>
  <si>
    <t>Investigate circuit in junction box on rear of amenities block to confirm redundancy. Disconnect and remove if redundant.</t>
  </si>
  <si>
    <t>Remove redundant 3 phase GPO on pole mounted distibution board. Seal all penetrations in board and zinc spray earth stake.</t>
  </si>
  <si>
    <t>Decommission, remove and dispose of existing light and power circuit/equipment and associated circuit protection from pole mounted amenities distribution board servicing existing amenities. Make allowance for removal of catenary service and junction box point of attachment.</t>
  </si>
  <si>
    <t>Supply and install new floor and skirting tiles to toilet.</t>
  </si>
  <si>
    <t>Provide grouted concrete door threshold ramps to new swing doors and roller doors.</t>
  </si>
  <si>
    <t>Install topping slab to existing set-down areas to match finished floor level.</t>
  </si>
  <si>
    <r>
      <t>Supply and install new underground 1x2 core &amp; earth 10mm</t>
    </r>
    <r>
      <rPr>
        <vertAlign val="superscript"/>
        <sz val="10"/>
        <rFont val="Arial"/>
        <family val="2"/>
      </rPr>
      <t xml:space="preserve">2 </t>
    </r>
    <r>
      <rPr>
        <sz val="10"/>
        <rFont val="Arial"/>
        <family val="2"/>
      </rPr>
      <t>submains to new depot shed distribution board from pole mounted distribution board.</t>
    </r>
  </si>
  <si>
    <t xml:space="preserve">Supply and install new light &amp; power circuits, fixtures,fittings and associated circuit protection from new distribution board. </t>
  </si>
  <si>
    <t>Re-supply switchwire from new distibution board to existing batten luminaires in shade structure. To be switched with external luminaires via time-clock and PE cell.</t>
  </si>
  <si>
    <t xml:space="preserve">Resupply existing fuel bowser circuit, isolator and associated circuit protection from distribution board. </t>
  </si>
  <si>
    <t>Supply and install new underground circuit from distribution board to new rainwater tank pump. Coordinate final circuit ratings with equipment provider.</t>
  </si>
  <si>
    <t>Supply and install new underground circuit from distribution board to new septic tank control system. Coordinate final circuit ratings with equipment provider.</t>
  </si>
  <si>
    <t>Supply and install new 18 pole panel board in landscape storage room of new depot shed.</t>
  </si>
  <si>
    <t>Paint doors.</t>
  </si>
  <si>
    <t>Paint soffit linings.</t>
  </si>
  <si>
    <t>Paint fascias.</t>
  </si>
  <si>
    <t>Paint downpipes.</t>
  </si>
  <si>
    <t>Paint external masonry and concrete footings.</t>
  </si>
  <si>
    <t>Paint internal linings, cornice, architraves and skirting.</t>
  </si>
  <si>
    <t>Supply and install swing and roller doors.</t>
  </si>
  <si>
    <t>Install windows (reuse of existing).</t>
  </si>
  <si>
    <t>Supply and install new steel posts.</t>
  </si>
  <si>
    <t>Supply and install new steel struts.</t>
  </si>
  <si>
    <t>Supply and install foam infill to wall cladding corrogations.</t>
  </si>
  <si>
    <t>Supply and install soffit lining.</t>
  </si>
  <si>
    <t>Supply and install insulation to external walls.</t>
  </si>
  <si>
    <t>Supply and install new external cladding.</t>
  </si>
  <si>
    <t>Supply and install new ply bracing.</t>
  </si>
  <si>
    <t>Supply and install new battens and steel stud frame.</t>
  </si>
  <si>
    <t>Supply and install bollard protection to Holding Tank.</t>
  </si>
  <si>
    <t>Supply and install pressure pipe and CAMLOCK system and signage.</t>
  </si>
  <si>
    <t>Supply and install new 10,000L Effluent Holding Tank, including sanitary drainage lines, float switch and transmersible level transducer wired to BMS.</t>
  </si>
  <si>
    <t>Supply and install new 4,000L Septic Tank, including sanitary drainage lines.</t>
  </si>
  <si>
    <t>Supply and install new electric pressure pump, enclosure and pipework.</t>
  </si>
  <si>
    <t>Supply and install new 5,000L water tank, water reticulation lines and signage.</t>
  </si>
  <si>
    <t>Supply and install fascias, gutters and downpipes.</t>
  </si>
  <si>
    <t>Supply and install insulation.</t>
  </si>
  <si>
    <t>Supply and install roof sheeting.</t>
  </si>
  <si>
    <t>Provide protective floor coating to document storage area.</t>
  </si>
  <si>
    <t>Prepare an Operation and Maintenance Manual complete with As Construction Drawings.</t>
  </si>
  <si>
    <t>Final testing, commissioning and handover.  Provide copies of all testing and commissioning documentation.</t>
  </si>
  <si>
    <t>Supply and install toilet suite.</t>
  </si>
  <si>
    <t>Supply and install toilet roll holder.</t>
  </si>
  <si>
    <t>Suppy and install internal hand basin and tapware.</t>
  </si>
  <si>
    <t>Supply and install internal mirror.</t>
  </si>
  <si>
    <t>Supply and install floor waste.</t>
  </si>
  <si>
    <t>Supply and install internal soap dispenser.</t>
  </si>
  <si>
    <t>Supply and install hose cocks and associated signage.</t>
  </si>
  <si>
    <t>Supply and intsall external sink and tapware.</t>
  </si>
  <si>
    <t>Fixtures and Fittings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</si>
</sst>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
  </numFmts>
  <fonts count="29"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family val="2"/>
    </font>
    <font>
      <b/>
      <sz val="14"/>
      <name val="Arial"/>
      <family val="2"/>
    </font>
    <font>
      <b/>
      <sz val="11"/>
      <name val="Arial"/>
      <family val="2"/>
    </font>
    <font>
      <sz val="8"/>
      <name val="Arial"/>
      <family val="2"/>
    </font>
    <font>
      <sz val="8"/>
      <name val="Arial"/>
      <family val="2"/>
    </font>
    <font>
      <b/>
      <sz val="12"/>
      <name val="Arial"/>
      <family val="2"/>
    </font>
    <font>
      <sz val="12"/>
      <name val="Arial"/>
      <family val="2"/>
    </font>
    <font>
      <sz val="9"/>
      <name val="Arial"/>
      <family val="2"/>
    </font>
    <font>
      <vertAlign val="superscript"/>
      <sz val="1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bgColor indexed="64"/>
      </patternFill>
    </fill>
    <fill>
      <patternFill patternType="solid">
        <fgColor theme="0" tint="-0.249977111117893"/>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47">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44" fontId="1"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44" fontId="15" fillId="0" borderId="0" applyFont="0" applyFill="0" applyBorder="0" applyAlignment="0" applyProtection="0"/>
    <xf numFmtId="44" fontId="1" fillId="0" borderId="0" applyFont="0" applyFill="0" applyBorder="0" applyAlignment="0" applyProtection="0"/>
    <xf numFmtId="0" fontId="1" fillId="23" borderId="7" applyNumberFormat="0" applyFont="0" applyAlignment="0" applyProtection="0"/>
    <xf numFmtId="44" fontId="1" fillId="0" borderId="0" applyFont="0" applyFill="0" applyBorder="0" applyAlignment="0" applyProtection="0"/>
  </cellStyleXfs>
  <cellXfs count="65">
    <xf numFmtId="0" fontId="0" fillId="0" borderId="0" xfId="0"/>
    <xf numFmtId="44" fontId="15" fillId="0" borderId="10" xfId="28" applyFont="1" applyFill="1" applyBorder="1" applyAlignment="1" applyProtection="1">
      <alignment horizontal="center"/>
      <protection locked="0"/>
    </xf>
    <xf numFmtId="0" fontId="15" fillId="24" borderId="10" xfId="0" applyFont="1" applyFill="1" applyBorder="1" applyAlignment="1" applyProtection="1">
      <alignment horizontal="center" wrapText="1"/>
    </xf>
    <xf numFmtId="44" fontId="20" fillId="24" borderId="10" xfId="28" applyFont="1" applyFill="1" applyBorder="1" applyAlignment="1" applyProtection="1">
      <alignment horizontal="center"/>
    </xf>
    <xf numFmtId="0" fontId="15" fillId="0" borderId="10" xfId="0" applyFont="1" applyFill="1" applyBorder="1" applyAlignment="1" applyProtection="1">
      <alignment vertical="top" wrapText="1"/>
    </xf>
    <xf numFmtId="0" fontId="0" fillId="0" borderId="10" xfId="0" applyBorder="1" applyProtection="1"/>
    <xf numFmtId="0" fontId="0" fillId="0" borderId="0" xfId="0" applyProtection="1"/>
    <xf numFmtId="0" fontId="0" fillId="0" borderId="0" xfId="0" applyFill="1" applyProtection="1"/>
    <xf numFmtId="0" fontId="23" fillId="0" borderId="10" xfId="0" applyFont="1" applyFill="1" applyBorder="1" applyAlignment="1" applyProtection="1">
      <alignment horizontal="center"/>
    </xf>
    <xf numFmtId="2" fontId="22" fillId="25" borderId="10" xfId="0" quotePrefix="1" applyNumberFormat="1" applyFont="1" applyFill="1" applyBorder="1" applyAlignment="1" applyProtection="1">
      <alignment horizontal="right" vertical="top"/>
    </xf>
    <xf numFmtId="0" fontId="22" fillId="25" borderId="10" xfId="0" applyFont="1" applyFill="1" applyBorder="1" applyAlignment="1" applyProtection="1">
      <alignment horizontal="left" vertical="top" wrapText="1" indent="1"/>
    </xf>
    <xf numFmtId="164" fontId="15" fillId="25" borderId="10" xfId="0" applyNumberFormat="1" applyFont="1" applyFill="1" applyBorder="1" applyAlignment="1" applyProtection="1">
      <alignment horizontal="center"/>
    </xf>
    <xf numFmtId="44" fontId="15" fillId="25" borderId="10" xfId="28" applyFont="1" applyFill="1" applyBorder="1" applyAlignment="1" applyProtection="1">
      <alignment horizontal="center"/>
    </xf>
    <xf numFmtId="44" fontId="20" fillId="25" borderId="10" xfId="28" applyFont="1" applyFill="1" applyBorder="1" applyAlignment="1" applyProtection="1">
      <alignment horizontal="center"/>
    </xf>
    <xf numFmtId="0" fontId="15" fillId="0" borderId="0" xfId="0" applyFont="1" applyFill="1" applyBorder="1" applyAlignment="1" applyProtection="1">
      <alignment vertical="top" wrapText="1"/>
    </xf>
    <xf numFmtId="0" fontId="15" fillId="0" borderId="0" xfId="0" applyFont="1" applyFill="1" applyBorder="1" applyAlignment="1" applyProtection="1">
      <alignment horizontal="left" vertical="top" wrapText="1" indent="1"/>
    </xf>
    <xf numFmtId="44" fontId="15" fillId="0" borderId="0" xfId="43" applyFont="1" applyFill="1" applyBorder="1" applyAlignment="1" applyProtection="1">
      <alignment horizontal="center"/>
    </xf>
    <xf numFmtId="0" fontId="15" fillId="0" borderId="10" xfId="0" applyFont="1" applyFill="1" applyBorder="1" applyAlignment="1" applyProtection="1">
      <alignment vertical="top" wrapText="1"/>
      <protection locked="0"/>
    </xf>
    <xf numFmtId="0" fontId="15" fillId="0" borderId="10" xfId="0" applyFont="1" applyFill="1" applyBorder="1" applyAlignment="1" applyProtection="1">
      <alignment horizontal="left" vertical="top" wrapText="1" indent="1"/>
      <protection locked="0"/>
    </xf>
    <xf numFmtId="0" fontId="15" fillId="24" borderId="11" xfId="0" applyFont="1" applyFill="1" applyBorder="1" applyAlignment="1" applyProtection="1">
      <alignment horizontal="center" wrapText="1"/>
    </xf>
    <xf numFmtId="164" fontId="15" fillId="25" borderId="11" xfId="0" applyNumberFormat="1" applyFont="1" applyFill="1" applyBorder="1" applyAlignment="1" applyProtection="1">
      <alignment horizontal="center"/>
    </xf>
    <xf numFmtId="0" fontId="0" fillId="0" borderId="14" xfId="0" applyBorder="1" applyAlignment="1" applyProtection="1"/>
    <xf numFmtId="0" fontId="0" fillId="0" borderId="0" xfId="0" applyBorder="1" applyAlignment="1" applyProtection="1"/>
    <xf numFmtId="0" fontId="26" fillId="0" borderId="14" xfId="0" applyFont="1" applyBorder="1" applyAlignment="1" applyProtection="1"/>
    <xf numFmtId="0" fontId="26" fillId="0" borderId="0" xfId="0" applyFont="1" applyBorder="1" applyAlignment="1" applyProtection="1"/>
    <xf numFmtId="0" fontId="15" fillId="0" borderId="14" xfId="0" applyFont="1" applyBorder="1" applyAlignment="1" applyProtection="1">
      <alignment vertical="top"/>
    </xf>
    <xf numFmtId="0" fontId="15" fillId="0" borderId="0" xfId="0" applyFont="1" applyBorder="1" applyAlignment="1" applyProtection="1">
      <alignment vertical="top"/>
    </xf>
    <xf numFmtId="0" fontId="0" fillId="0" borderId="0" xfId="0" applyBorder="1" applyProtection="1"/>
    <xf numFmtId="0" fontId="0" fillId="0" borderId="14" xfId="0" applyBorder="1" applyProtection="1"/>
    <xf numFmtId="0" fontId="15" fillId="0" borderId="14" xfId="0" applyFont="1" applyFill="1" applyBorder="1" applyAlignment="1" applyProtection="1">
      <alignment horizontal="center" wrapText="1"/>
    </xf>
    <xf numFmtId="0" fontId="15" fillId="0" borderId="0" xfId="0" applyFont="1" applyFill="1" applyBorder="1" applyAlignment="1" applyProtection="1">
      <alignment horizontal="center" wrapText="1"/>
    </xf>
    <xf numFmtId="0" fontId="1" fillId="0" borderId="10" xfId="0" applyFont="1" applyFill="1" applyBorder="1" applyAlignment="1" applyProtection="1">
      <alignment horizontal="left" vertical="top" wrapText="1" indent="1"/>
    </xf>
    <xf numFmtId="0" fontId="1" fillId="27" borderId="10" xfId="0" applyFont="1" applyFill="1" applyBorder="1" applyAlignment="1" applyProtection="1">
      <alignment horizontal="left" vertical="top" wrapText="1" indent="1"/>
    </xf>
    <xf numFmtId="0" fontId="20" fillId="24" borderId="11" xfId="0" applyFont="1" applyFill="1" applyBorder="1" applyAlignment="1" applyProtection="1">
      <alignment horizontal="right" vertical="center"/>
    </xf>
    <xf numFmtId="0" fontId="0" fillId="0" borderId="12" xfId="0" applyBorder="1" applyAlignment="1" applyProtection="1">
      <alignment horizontal="right"/>
    </xf>
    <xf numFmtId="0" fontId="1" fillId="0" borderId="11" xfId="0" applyFont="1" applyFill="1" applyBorder="1" applyAlignment="1" applyProtection="1">
      <alignment horizontal="right" vertical="center"/>
    </xf>
    <xf numFmtId="0" fontId="1" fillId="0" borderId="0" xfId="0" applyFont="1" applyFill="1" applyProtection="1"/>
    <xf numFmtId="44" fontId="15" fillId="25" borderId="10" xfId="28" applyFont="1" applyFill="1" applyBorder="1" applyAlignment="1" applyProtection="1">
      <alignment horizontal="center"/>
      <protection locked="0"/>
    </xf>
    <xf numFmtId="0" fontId="15" fillId="28" borderId="10" xfId="0" applyFont="1" applyFill="1" applyBorder="1" applyAlignment="1" applyProtection="1">
      <alignment vertical="top" wrapText="1"/>
      <protection locked="0"/>
    </xf>
    <xf numFmtId="0" fontId="20" fillId="24" borderId="12" xfId="0" applyFont="1" applyFill="1" applyBorder="1" applyAlignment="1" applyProtection="1">
      <alignment horizontal="right" vertical="center"/>
    </xf>
    <xf numFmtId="0" fontId="0" fillId="28" borderId="10" xfId="0" applyFill="1" applyBorder="1" applyProtection="1"/>
    <xf numFmtId="0" fontId="15" fillId="0" borderId="11" xfId="0" applyFont="1" applyFill="1" applyBorder="1" applyAlignment="1" applyProtection="1">
      <alignment vertical="top" wrapText="1"/>
    </xf>
    <xf numFmtId="2" fontId="15" fillId="0" borderId="10" xfId="0" applyNumberFormat="1" applyFont="1" applyFill="1" applyBorder="1" applyAlignment="1" applyProtection="1">
      <alignment vertical="top" wrapText="1"/>
    </xf>
    <xf numFmtId="0" fontId="20" fillId="24" borderId="11" xfId="0" applyFont="1" applyFill="1" applyBorder="1" applyAlignment="1" applyProtection="1">
      <alignment horizontal="right" vertical="center"/>
    </xf>
    <xf numFmtId="0" fontId="1" fillId="0" borderId="11" xfId="0" applyFont="1" applyFill="1" applyBorder="1" applyAlignment="1" applyProtection="1">
      <alignment horizontal="left" vertical="top" wrapText="1" indent="1"/>
    </xf>
    <xf numFmtId="0" fontId="1" fillId="0" borderId="13" xfId="0" applyFont="1" applyFill="1" applyBorder="1" applyAlignment="1" applyProtection="1">
      <alignment horizontal="left" vertical="top" wrapText="1" indent="1"/>
    </xf>
    <xf numFmtId="0" fontId="1" fillId="0" borderId="10" xfId="0" applyFont="1" applyFill="1" applyBorder="1" applyAlignment="1" applyProtection="1">
      <alignment horizontal="left" vertical="top" wrapText="1" indent="1"/>
      <protection locked="0"/>
    </xf>
    <xf numFmtId="0" fontId="20" fillId="24" borderId="11" xfId="0" applyFont="1" applyFill="1" applyBorder="1" applyAlignment="1" applyProtection="1">
      <alignment horizontal="right" vertical="center"/>
    </xf>
    <xf numFmtId="0" fontId="0" fillId="0" borderId="0" xfId="0" applyFill="1" applyProtection="1"/>
    <xf numFmtId="0" fontId="0" fillId="0" borderId="0" xfId="0" applyFill="1" applyProtection="1"/>
    <xf numFmtId="2" fontId="22" fillId="25" borderId="10" xfId="0" quotePrefix="1" applyNumberFormat="1" applyFont="1" applyFill="1" applyBorder="1" applyAlignment="1" applyProtection="1">
      <alignment horizontal="right" vertical="top"/>
    </xf>
    <xf numFmtId="0" fontId="22" fillId="25" borderId="10" xfId="0" applyFont="1" applyFill="1" applyBorder="1" applyAlignment="1" applyProtection="1">
      <alignment horizontal="left" vertical="top" wrapText="1" indent="1"/>
    </xf>
    <xf numFmtId="0" fontId="1" fillId="0" borderId="10" xfId="0" applyFont="1" applyFill="1" applyBorder="1" applyAlignment="1" applyProtection="1">
      <alignment horizontal="left" vertical="top" wrapText="1" indent="1"/>
    </xf>
    <xf numFmtId="0" fontId="20" fillId="24" borderId="11" xfId="0" applyFont="1" applyFill="1" applyBorder="1" applyAlignment="1" applyProtection="1">
      <alignment horizontal="right" vertical="center"/>
    </xf>
    <xf numFmtId="0" fontId="1" fillId="0" borderId="11" xfId="0" applyFont="1" applyFill="1" applyBorder="1" applyAlignment="1" applyProtection="1">
      <alignment horizontal="left" vertical="top" wrapText="1" indent="1"/>
    </xf>
    <xf numFmtId="0" fontId="20" fillId="24" borderId="11" xfId="0" applyFont="1" applyFill="1" applyBorder="1" applyAlignment="1" applyProtection="1">
      <alignment horizontal="right" vertical="center"/>
    </xf>
    <xf numFmtId="0" fontId="0" fillId="0" borderId="12" xfId="0" applyBorder="1" applyAlignment="1" applyProtection="1">
      <alignment horizontal="right"/>
    </xf>
    <xf numFmtId="0" fontId="21" fillId="0" borderId="11" xfId="0" applyFont="1" applyFill="1" applyBorder="1" applyAlignment="1" applyProtection="1">
      <alignment horizontal="center"/>
    </xf>
    <xf numFmtId="0" fontId="21" fillId="0" borderId="12" xfId="0" applyFont="1" applyFill="1" applyBorder="1" applyAlignment="1" applyProtection="1">
      <alignment horizontal="center"/>
    </xf>
    <xf numFmtId="0" fontId="25" fillId="0" borderId="11" xfId="0" applyFont="1" applyFill="1" applyBorder="1" applyAlignment="1" applyProtection="1">
      <alignment horizontal="center"/>
    </xf>
    <xf numFmtId="0" fontId="25" fillId="0" borderId="12" xfId="0" applyFont="1" applyFill="1" applyBorder="1" applyAlignment="1" applyProtection="1">
      <alignment horizontal="center"/>
    </xf>
    <xf numFmtId="49" fontId="25" fillId="26" borderId="11" xfId="0" applyNumberFormat="1" applyFont="1" applyFill="1" applyBorder="1" applyAlignment="1" applyProtection="1">
      <alignment horizontal="center"/>
    </xf>
    <xf numFmtId="49" fontId="25" fillId="26" borderId="12" xfId="0" applyNumberFormat="1" applyFont="1" applyFill="1" applyBorder="1" applyAlignment="1" applyProtection="1">
      <alignment horizontal="center"/>
    </xf>
    <xf numFmtId="0" fontId="20" fillId="0" borderId="11" xfId="0" applyFont="1" applyFill="1" applyBorder="1" applyAlignment="1" applyProtection="1">
      <alignment horizontal="left" vertical="top" wrapText="1"/>
    </xf>
    <xf numFmtId="0" fontId="20" fillId="0" borderId="12" xfId="0" applyFont="1" applyFill="1" applyBorder="1" applyAlignment="1" applyProtection="1">
      <alignment horizontal="left" vertical="top"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Currency 2" xfId="43" xr:uid="{00000000-0005-0000-0000-00001C000000}"/>
    <cellStyle name="Currency 2 2" xfId="46" xr:uid="{F8322F33-C5E4-4127-949F-12CD708081FD}"/>
    <cellStyle name="Currency 3" xfId="44" xr:uid="{D1BEB1CC-673C-48D0-BAE6-DA311FEB1F4B}"/>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Note 2" xfId="45" xr:uid="{73BADC45-F555-426B-93AE-14B56278D015}"/>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22"/>
  <sheetViews>
    <sheetView tabSelected="1" topLeftCell="A100" zoomScale="130" zoomScaleNormal="130" workbookViewId="0">
      <selection activeCell="C122" sqref="C122"/>
    </sheetView>
  </sheetViews>
  <sheetFormatPr defaultColWidth="9.140625" defaultRowHeight="12.75" x14ac:dyDescent="0.2"/>
  <cols>
    <col min="1" max="1" width="6" style="7" bestFit="1" customWidth="1"/>
    <col min="2" max="2" width="105.85546875" style="6" customWidth="1"/>
    <col min="3" max="3" width="19.85546875" style="6" customWidth="1"/>
    <col min="4" max="4" width="10.28515625" style="6" customWidth="1"/>
    <col min="5" max="5" width="11.7109375" style="6" customWidth="1"/>
    <col min="6" max="6" width="14.42578125" style="6" bestFit="1" customWidth="1"/>
    <col min="7" max="16384" width="9.140625" style="6"/>
  </cols>
  <sheetData>
    <row r="1" spans="1:14" ht="18" x14ac:dyDescent="0.25">
      <c r="A1" s="57" t="s">
        <v>14</v>
      </c>
      <c r="B1" s="58"/>
      <c r="C1" s="58"/>
      <c r="D1" s="21"/>
      <c r="E1" s="22"/>
      <c r="F1" s="22"/>
    </row>
    <row r="2" spans="1:14" ht="18" x14ac:dyDescent="0.25">
      <c r="A2" s="57" t="s">
        <v>13</v>
      </c>
      <c r="B2" s="58"/>
      <c r="C2" s="58"/>
      <c r="D2" s="21"/>
      <c r="E2" s="22"/>
      <c r="F2" s="22"/>
    </row>
    <row r="3" spans="1:14" ht="15.75" x14ac:dyDescent="0.25">
      <c r="A3" s="59" t="s">
        <v>5</v>
      </c>
      <c r="B3" s="60"/>
      <c r="C3" s="60"/>
      <c r="D3" s="23"/>
      <c r="E3" s="24"/>
      <c r="F3" s="24"/>
    </row>
    <row r="4" spans="1:14" ht="15.75" x14ac:dyDescent="0.25">
      <c r="A4" s="61" t="s">
        <v>18</v>
      </c>
      <c r="B4" s="62"/>
      <c r="C4" s="62"/>
      <c r="D4" s="23"/>
      <c r="E4" s="24"/>
      <c r="F4" s="24"/>
    </row>
    <row r="5" spans="1:14" ht="141.6" customHeight="1" x14ac:dyDescent="0.2">
      <c r="A5" s="63" t="s">
        <v>6</v>
      </c>
      <c r="B5" s="64"/>
      <c r="C5" s="64"/>
      <c r="D5" s="25"/>
      <c r="E5" s="26"/>
      <c r="F5" s="26"/>
      <c r="G5" s="7"/>
      <c r="H5" s="7"/>
      <c r="I5" s="7"/>
      <c r="J5" s="7"/>
      <c r="K5" s="7"/>
      <c r="L5" s="7"/>
      <c r="M5" s="7"/>
      <c r="N5" s="7"/>
    </row>
    <row r="6" spans="1:14" x14ac:dyDescent="0.2">
      <c r="A6" s="2" t="s">
        <v>2</v>
      </c>
      <c r="B6" s="2" t="s">
        <v>1</v>
      </c>
      <c r="C6" s="19" t="s">
        <v>0</v>
      </c>
      <c r="D6" s="29"/>
      <c r="E6" s="30"/>
      <c r="F6" s="27"/>
    </row>
    <row r="7" spans="1:14" ht="15" x14ac:dyDescent="0.2">
      <c r="A7" s="9">
        <v>1</v>
      </c>
      <c r="B7" s="10" t="s">
        <v>29</v>
      </c>
      <c r="C7" s="20"/>
      <c r="D7" s="28"/>
      <c r="E7" s="27"/>
      <c r="F7" s="27"/>
    </row>
    <row r="8" spans="1:14" ht="25.5" x14ac:dyDescent="0.2">
      <c r="A8" s="4">
        <v>1.01</v>
      </c>
      <c r="B8" s="31" t="s">
        <v>46</v>
      </c>
      <c r="C8" s="1">
        <v>0</v>
      </c>
    </row>
    <row r="9" spans="1:14" ht="25.5" x14ac:dyDescent="0.2">
      <c r="A9" s="41">
        <v>1.02</v>
      </c>
      <c r="B9" s="31" t="s">
        <v>15</v>
      </c>
      <c r="C9" s="1">
        <v>0</v>
      </c>
    </row>
    <row r="10" spans="1:14" ht="25.5" x14ac:dyDescent="0.2">
      <c r="A10" s="41">
        <v>1.03</v>
      </c>
      <c r="B10" s="31" t="s">
        <v>16</v>
      </c>
      <c r="C10" s="1">
        <v>0</v>
      </c>
    </row>
    <row r="11" spans="1:14" ht="25.5" x14ac:dyDescent="0.2">
      <c r="A11" s="41">
        <v>1.04</v>
      </c>
      <c r="B11" s="31" t="s">
        <v>17</v>
      </c>
      <c r="C11" s="1">
        <v>0</v>
      </c>
    </row>
    <row r="12" spans="1:14" x14ac:dyDescent="0.2">
      <c r="A12" s="55" t="s">
        <v>3</v>
      </c>
      <c r="B12" s="56"/>
      <c r="C12" s="3">
        <f>SUM(C8:C11)</f>
        <v>0</v>
      </c>
      <c r="D12" s="7"/>
      <c r="E12" s="7"/>
      <c r="F12" s="7"/>
    </row>
    <row r="13" spans="1:14" s="7" customFormat="1" ht="15" x14ac:dyDescent="0.2">
      <c r="A13" s="9">
        <v>2</v>
      </c>
      <c r="B13" s="10" t="s">
        <v>7</v>
      </c>
      <c r="C13" s="11"/>
      <c r="D13" s="6"/>
      <c r="E13" s="6"/>
      <c r="F13" s="6"/>
    </row>
    <row r="14" spans="1:14" s="7" customFormat="1" x14ac:dyDescent="0.2">
      <c r="A14" s="4">
        <v>2.0099999999999998</v>
      </c>
      <c r="B14" s="32" t="s">
        <v>20</v>
      </c>
      <c r="C14" s="1">
        <v>0</v>
      </c>
      <c r="D14" s="6"/>
      <c r="E14" s="6"/>
      <c r="F14" s="6"/>
    </row>
    <row r="15" spans="1:14" s="7" customFormat="1" ht="13.5" customHeight="1" x14ac:dyDescent="0.2">
      <c r="A15" s="35">
        <v>2.02</v>
      </c>
      <c r="B15" s="52" t="s">
        <v>23</v>
      </c>
      <c r="C15" s="1">
        <v>0</v>
      </c>
      <c r="D15" s="6"/>
      <c r="E15" s="6"/>
      <c r="F15" s="6"/>
    </row>
    <row r="16" spans="1:14" s="7" customFormat="1" ht="13.5" customHeight="1" x14ac:dyDescent="0.2">
      <c r="A16" s="35">
        <f>A15+0.01</f>
        <v>2.0299999999999998</v>
      </c>
      <c r="B16" s="52" t="s">
        <v>24</v>
      </c>
      <c r="C16" s="1">
        <v>0</v>
      </c>
      <c r="D16" s="6"/>
      <c r="E16" s="6"/>
      <c r="F16" s="6"/>
    </row>
    <row r="17" spans="1:6" s="7" customFormat="1" ht="13.5" customHeight="1" x14ac:dyDescent="0.2">
      <c r="A17" s="35">
        <f t="shared" ref="A17:A31" si="0">A16+0.01</f>
        <v>2.0399999999999996</v>
      </c>
      <c r="B17" s="52" t="s">
        <v>25</v>
      </c>
      <c r="C17" s="1">
        <v>0</v>
      </c>
      <c r="D17" s="6"/>
      <c r="E17" s="6"/>
      <c r="F17" s="6"/>
    </row>
    <row r="18" spans="1:6" s="7" customFormat="1" ht="13.5" customHeight="1" x14ac:dyDescent="0.2">
      <c r="A18" s="35">
        <f t="shared" si="0"/>
        <v>2.0499999999999994</v>
      </c>
      <c r="B18" s="52" t="s">
        <v>19</v>
      </c>
      <c r="C18" s="1">
        <v>0</v>
      </c>
      <c r="D18" s="6"/>
      <c r="E18" s="6"/>
      <c r="F18" s="6"/>
    </row>
    <row r="19" spans="1:6" s="7" customFormat="1" ht="13.5" customHeight="1" x14ac:dyDescent="0.2">
      <c r="A19" s="35">
        <f t="shared" si="0"/>
        <v>2.0599999999999992</v>
      </c>
      <c r="B19" s="52" t="s">
        <v>21</v>
      </c>
      <c r="C19" s="1">
        <v>0</v>
      </c>
      <c r="D19" s="6"/>
      <c r="E19" s="6"/>
      <c r="F19" s="6"/>
    </row>
    <row r="20" spans="1:6" s="7" customFormat="1" ht="13.5" customHeight="1" x14ac:dyDescent="0.2">
      <c r="A20" s="35">
        <f t="shared" si="0"/>
        <v>2.069999999999999</v>
      </c>
      <c r="B20" s="52" t="s">
        <v>26</v>
      </c>
      <c r="C20" s="1">
        <v>0</v>
      </c>
      <c r="D20" s="6"/>
      <c r="E20" s="6"/>
      <c r="F20" s="6"/>
    </row>
    <row r="21" spans="1:6" s="7" customFormat="1" ht="13.5" customHeight="1" x14ac:dyDescent="0.2">
      <c r="A21" s="35">
        <f t="shared" si="0"/>
        <v>2.0799999999999987</v>
      </c>
      <c r="B21" s="52" t="s">
        <v>22</v>
      </c>
      <c r="C21" s="1">
        <v>0</v>
      </c>
      <c r="D21" s="6"/>
      <c r="E21" s="6"/>
      <c r="F21" s="6"/>
    </row>
    <row r="22" spans="1:6" s="7" customFormat="1" ht="27" customHeight="1" x14ac:dyDescent="0.2">
      <c r="A22" s="35">
        <f t="shared" si="0"/>
        <v>2.0899999999999985</v>
      </c>
      <c r="B22" s="52" t="s">
        <v>27</v>
      </c>
      <c r="C22" s="1">
        <v>0</v>
      </c>
      <c r="D22" s="6"/>
      <c r="E22" s="6"/>
      <c r="F22" s="6"/>
    </row>
    <row r="23" spans="1:6" s="7" customFormat="1" ht="12.95" customHeight="1" x14ac:dyDescent="0.2">
      <c r="A23" s="35">
        <f t="shared" si="0"/>
        <v>2.0999999999999983</v>
      </c>
      <c r="B23" s="52" t="s">
        <v>28</v>
      </c>
      <c r="C23" s="1">
        <v>0</v>
      </c>
      <c r="D23" s="6"/>
      <c r="E23" s="6"/>
      <c r="F23" s="6"/>
    </row>
    <row r="24" spans="1:6" s="7" customFormat="1" ht="13.5" customHeight="1" x14ac:dyDescent="0.2">
      <c r="A24" s="35">
        <f t="shared" si="0"/>
        <v>2.1099999999999981</v>
      </c>
      <c r="B24" s="54" t="s">
        <v>45</v>
      </c>
      <c r="C24" s="1">
        <v>0</v>
      </c>
      <c r="D24" s="6"/>
      <c r="E24" s="6"/>
      <c r="F24" s="6"/>
    </row>
    <row r="25" spans="1:6" s="7" customFormat="1" ht="13.5" customHeight="1" x14ac:dyDescent="0.2">
      <c r="A25" s="35">
        <f t="shared" si="0"/>
        <v>2.1199999999999979</v>
      </c>
      <c r="B25" s="54" t="s">
        <v>44</v>
      </c>
      <c r="C25" s="1">
        <v>0</v>
      </c>
      <c r="D25" s="6"/>
      <c r="E25" s="6"/>
      <c r="F25" s="6"/>
    </row>
    <row r="26" spans="1:6" s="7" customFormat="1" ht="39.6" customHeight="1" x14ac:dyDescent="0.2">
      <c r="A26" s="35">
        <f t="shared" si="0"/>
        <v>2.1299999999999977</v>
      </c>
      <c r="B26" s="54" t="s">
        <v>52</v>
      </c>
      <c r="C26" s="1">
        <v>0</v>
      </c>
      <c r="D26" s="6"/>
      <c r="E26" s="6"/>
      <c r="F26" s="6"/>
    </row>
    <row r="27" spans="1:6" s="7" customFormat="1" ht="14.45" customHeight="1" x14ac:dyDescent="0.2">
      <c r="A27" s="35">
        <f t="shared" si="0"/>
        <v>2.1399999999999975</v>
      </c>
      <c r="B27" s="54" t="s">
        <v>47</v>
      </c>
      <c r="C27" s="1">
        <v>0</v>
      </c>
      <c r="D27" s="6"/>
      <c r="E27" s="6"/>
      <c r="F27" s="6"/>
    </row>
    <row r="28" spans="1:6" s="7" customFormat="1" ht="27.6" customHeight="1" x14ac:dyDescent="0.2">
      <c r="A28" s="35">
        <f t="shared" si="0"/>
        <v>2.1499999999999972</v>
      </c>
      <c r="B28" s="54" t="s">
        <v>48</v>
      </c>
      <c r="C28" s="1">
        <v>0</v>
      </c>
      <c r="D28" s="6"/>
      <c r="E28" s="6"/>
      <c r="F28" s="6"/>
    </row>
    <row r="29" spans="1:6" s="7" customFormat="1" ht="26.45" customHeight="1" x14ac:dyDescent="0.2">
      <c r="A29" s="35">
        <f t="shared" si="0"/>
        <v>2.159999999999997</v>
      </c>
      <c r="B29" s="54" t="s">
        <v>49</v>
      </c>
      <c r="C29" s="1">
        <v>0</v>
      </c>
      <c r="D29" s="6"/>
      <c r="E29" s="6"/>
      <c r="F29" s="6"/>
    </row>
    <row r="30" spans="1:6" s="7" customFormat="1" ht="16.5" customHeight="1" x14ac:dyDescent="0.2">
      <c r="A30" s="35">
        <f t="shared" si="0"/>
        <v>2.1699999999999968</v>
      </c>
      <c r="B30" s="54" t="s">
        <v>50</v>
      </c>
      <c r="C30" s="1">
        <v>0</v>
      </c>
      <c r="D30" s="6"/>
      <c r="E30" s="6"/>
      <c r="F30" s="6"/>
    </row>
    <row r="31" spans="1:6" s="7" customFormat="1" ht="13.5" customHeight="1" x14ac:dyDescent="0.2">
      <c r="A31" s="35">
        <f t="shared" si="0"/>
        <v>2.1799999999999966</v>
      </c>
      <c r="B31" s="54" t="s">
        <v>51</v>
      </c>
      <c r="C31" s="1">
        <v>0</v>
      </c>
      <c r="D31" s="6"/>
      <c r="E31" s="6"/>
      <c r="F31" s="6"/>
    </row>
    <row r="32" spans="1:6" s="7" customFormat="1" x14ac:dyDescent="0.2">
      <c r="A32" s="33"/>
      <c r="B32" s="33" t="s">
        <v>3</v>
      </c>
      <c r="C32" s="3">
        <f>SUM(C14:C31)</f>
        <v>0</v>
      </c>
    </row>
    <row r="33" spans="1:6" s="7" customFormat="1" ht="15" x14ac:dyDescent="0.2">
      <c r="A33" s="9">
        <v>3</v>
      </c>
      <c r="B33" s="10" t="s">
        <v>30</v>
      </c>
      <c r="C33" s="37"/>
      <c r="D33" s="6"/>
      <c r="E33" s="6"/>
      <c r="F33" s="6"/>
    </row>
    <row r="34" spans="1:6" s="7" customFormat="1" x14ac:dyDescent="0.2">
      <c r="A34" s="42">
        <f>A33+0.01</f>
        <v>3.01</v>
      </c>
      <c r="B34" s="31" t="s">
        <v>53</v>
      </c>
      <c r="C34" s="1">
        <v>0</v>
      </c>
      <c r="D34" s="6"/>
      <c r="E34" s="6"/>
      <c r="F34" s="6"/>
    </row>
    <row r="35" spans="1:6" s="7" customFormat="1" x14ac:dyDescent="0.2">
      <c r="A35" s="42">
        <f t="shared" ref="A35:A37" si="1">A34+0.01</f>
        <v>3.0199999999999996</v>
      </c>
      <c r="B35" s="31" t="s">
        <v>54</v>
      </c>
      <c r="C35" s="1">
        <v>0</v>
      </c>
      <c r="D35" s="6"/>
      <c r="E35" s="6"/>
      <c r="F35" s="6"/>
    </row>
    <row r="36" spans="1:6" s="7" customFormat="1" x14ac:dyDescent="0.2">
      <c r="A36" s="42">
        <f t="shared" si="1"/>
        <v>3.0299999999999994</v>
      </c>
      <c r="B36" s="31" t="s">
        <v>55</v>
      </c>
      <c r="C36" s="1">
        <v>0</v>
      </c>
      <c r="D36" s="6"/>
      <c r="E36" s="6"/>
      <c r="F36" s="6"/>
    </row>
    <row r="37" spans="1:6" s="7" customFormat="1" x14ac:dyDescent="0.2">
      <c r="A37" s="42">
        <f t="shared" si="1"/>
        <v>3.0399999999999991</v>
      </c>
      <c r="B37" s="31" t="s">
        <v>88</v>
      </c>
      <c r="C37" s="1">
        <v>0</v>
      </c>
      <c r="D37" s="6"/>
      <c r="E37" s="6"/>
      <c r="F37" s="6"/>
    </row>
    <row r="38" spans="1:6" s="7" customFormat="1" x14ac:dyDescent="0.2">
      <c r="A38" s="33"/>
      <c r="B38" s="33" t="s">
        <v>3</v>
      </c>
      <c r="C38" s="3">
        <f>SUM(C34:C37)</f>
        <v>0</v>
      </c>
    </row>
    <row r="39" spans="1:6" s="7" customFormat="1" ht="15" x14ac:dyDescent="0.2">
      <c r="A39" s="9">
        <v>4</v>
      </c>
      <c r="B39" s="10" t="s">
        <v>31</v>
      </c>
      <c r="C39" s="37"/>
      <c r="D39" s="6"/>
      <c r="E39" s="6"/>
      <c r="F39" s="6"/>
    </row>
    <row r="40" spans="1:6" s="7" customFormat="1" x14ac:dyDescent="0.2">
      <c r="A40" s="42">
        <f>A39+0.01</f>
        <v>4.01</v>
      </c>
      <c r="B40" s="31" t="s">
        <v>87</v>
      </c>
      <c r="C40" s="1">
        <v>0</v>
      </c>
      <c r="D40" s="6"/>
      <c r="E40" s="6"/>
      <c r="F40" s="6"/>
    </row>
    <row r="41" spans="1:6" s="7" customFormat="1" x14ac:dyDescent="0.2">
      <c r="A41" s="4">
        <f>A40+0.01</f>
        <v>4.0199999999999996</v>
      </c>
      <c r="B41" s="31" t="s">
        <v>86</v>
      </c>
      <c r="C41" s="1">
        <v>0</v>
      </c>
    </row>
    <row r="42" spans="1:6" s="7" customFormat="1" x14ac:dyDescent="0.2">
      <c r="A42" s="4">
        <f t="shared" ref="A42" si="2">A41+0.01</f>
        <v>4.0299999999999994</v>
      </c>
      <c r="B42" s="31" t="s">
        <v>85</v>
      </c>
      <c r="C42" s="1">
        <v>0</v>
      </c>
    </row>
    <row r="43" spans="1:6" s="7" customFormat="1" x14ac:dyDescent="0.2">
      <c r="A43" s="33"/>
      <c r="B43" s="33" t="s">
        <v>3</v>
      </c>
      <c r="C43" s="3">
        <f>SUM(C40:C42)</f>
        <v>0</v>
      </c>
    </row>
    <row r="44" spans="1:6" s="7" customFormat="1" ht="15" x14ac:dyDescent="0.2">
      <c r="A44" s="9">
        <v>5</v>
      </c>
      <c r="B44" s="10" t="s">
        <v>8</v>
      </c>
      <c r="C44" s="12"/>
    </row>
    <row r="45" spans="1:6" s="7" customFormat="1" x14ac:dyDescent="0.2">
      <c r="A45" s="42">
        <f>A44+0.01</f>
        <v>5.01</v>
      </c>
      <c r="B45" s="52" t="s">
        <v>62</v>
      </c>
      <c r="C45" s="1">
        <v>0</v>
      </c>
    </row>
    <row r="46" spans="1:6" s="7" customFormat="1" ht="27" x14ac:dyDescent="0.2">
      <c r="A46" s="42">
        <f t="shared" ref="A46:A51" si="3">A45+0.01</f>
        <v>5.0199999999999996</v>
      </c>
      <c r="B46" s="52" t="s">
        <v>56</v>
      </c>
      <c r="C46" s="1">
        <v>0</v>
      </c>
    </row>
    <row r="47" spans="1:6" s="7" customFormat="1" x14ac:dyDescent="0.2">
      <c r="A47" s="42">
        <f t="shared" si="3"/>
        <v>5.0299999999999994</v>
      </c>
      <c r="B47" s="54" t="s">
        <v>57</v>
      </c>
      <c r="C47" s="1">
        <v>0</v>
      </c>
    </row>
    <row r="48" spans="1:6" s="7" customFormat="1" ht="25.5" x14ac:dyDescent="0.2">
      <c r="A48" s="42">
        <f t="shared" si="3"/>
        <v>5.0399999999999991</v>
      </c>
      <c r="B48" s="54" t="s">
        <v>58</v>
      </c>
      <c r="C48" s="1">
        <v>0</v>
      </c>
    </row>
    <row r="49" spans="1:4" s="7" customFormat="1" x14ac:dyDescent="0.2">
      <c r="A49" s="42">
        <f t="shared" si="3"/>
        <v>5.0499999999999989</v>
      </c>
      <c r="B49" s="54" t="s">
        <v>59</v>
      </c>
      <c r="C49" s="1">
        <v>0</v>
      </c>
    </row>
    <row r="50" spans="1:4" s="48" customFormat="1" ht="25.5" x14ac:dyDescent="0.2">
      <c r="A50" s="42">
        <f t="shared" si="3"/>
        <v>5.0599999999999987</v>
      </c>
      <c r="B50" s="52" t="s">
        <v>60</v>
      </c>
      <c r="C50" s="1">
        <v>0</v>
      </c>
    </row>
    <row r="51" spans="1:4" s="7" customFormat="1" ht="25.5" x14ac:dyDescent="0.2">
      <c r="A51" s="42">
        <f t="shared" si="3"/>
        <v>5.0699999999999985</v>
      </c>
      <c r="B51" s="52" t="s">
        <v>61</v>
      </c>
      <c r="C51" s="1">
        <v>0</v>
      </c>
    </row>
    <row r="52" spans="1:4" s="7" customFormat="1" x14ac:dyDescent="0.2">
      <c r="A52" s="33"/>
      <c r="B52" s="47" t="s">
        <v>3</v>
      </c>
      <c r="C52" s="3">
        <f>SUM(C45:C51)</f>
        <v>0</v>
      </c>
    </row>
    <row r="53" spans="1:4" s="7" customFormat="1" ht="15" x14ac:dyDescent="0.2">
      <c r="A53" s="9">
        <v>6</v>
      </c>
      <c r="B53" s="10" t="s">
        <v>32</v>
      </c>
      <c r="C53" s="12"/>
    </row>
    <row r="54" spans="1:4" s="7" customFormat="1" x14ac:dyDescent="0.2">
      <c r="A54" s="42">
        <f>A53+0.01</f>
        <v>6.01</v>
      </c>
      <c r="B54" s="31" t="s">
        <v>84</v>
      </c>
      <c r="C54" s="1">
        <v>0</v>
      </c>
      <c r="D54" s="36"/>
    </row>
    <row r="55" spans="1:4" s="7" customFormat="1" x14ac:dyDescent="0.2">
      <c r="A55" s="42">
        <f t="shared" ref="A55:A59" si="4">A54+0.01</f>
        <v>6.02</v>
      </c>
      <c r="B55" s="31" t="s">
        <v>83</v>
      </c>
      <c r="C55" s="1">
        <v>0</v>
      </c>
    </row>
    <row r="56" spans="1:4" s="7" customFormat="1" x14ac:dyDescent="0.2">
      <c r="A56" s="42">
        <f t="shared" si="4"/>
        <v>6.0299999999999994</v>
      </c>
      <c r="B56" s="31" t="s">
        <v>82</v>
      </c>
      <c r="C56" s="1">
        <v>0</v>
      </c>
    </row>
    <row r="57" spans="1:4" s="7" customFormat="1" ht="25.5" x14ac:dyDescent="0.2">
      <c r="A57" s="42">
        <f t="shared" si="4"/>
        <v>6.0399999999999991</v>
      </c>
      <c r="B57" s="31" t="s">
        <v>81</v>
      </c>
      <c r="C57" s="1">
        <v>0</v>
      </c>
    </row>
    <row r="58" spans="1:4" s="7" customFormat="1" x14ac:dyDescent="0.2">
      <c r="A58" s="42">
        <f t="shared" si="4"/>
        <v>6.0499999999999989</v>
      </c>
      <c r="B58" s="31" t="s">
        <v>80</v>
      </c>
      <c r="C58" s="1">
        <v>0</v>
      </c>
    </row>
    <row r="59" spans="1:4" s="7" customFormat="1" x14ac:dyDescent="0.2">
      <c r="A59" s="42">
        <f t="shared" si="4"/>
        <v>6.0599999999999987</v>
      </c>
      <c r="B59" s="44" t="s">
        <v>79</v>
      </c>
      <c r="C59" s="1">
        <v>0</v>
      </c>
    </row>
    <row r="60" spans="1:4" s="7" customFormat="1" x14ac:dyDescent="0.2">
      <c r="A60" s="43"/>
      <c r="B60" s="43" t="s">
        <v>3</v>
      </c>
      <c r="C60" s="3">
        <f>SUM(C54:C59)</f>
        <v>0</v>
      </c>
    </row>
    <row r="61" spans="1:4" s="7" customFormat="1" ht="15" x14ac:dyDescent="0.2">
      <c r="A61" s="9">
        <v>7</v>
      </c>
      <c r="B61" s="10" t="s">
        <v>43</v>
      </c>
      <c r="C61" s="12"/>
    </row>
    <row r="62" spans="1:4" s="7" customFormat="1" x14ac:dyDescent="0.2">
      <c r="A62" s="42">
        <f>A61+0.01</f>
        <v>7.01</v>
      </c>
      <c r="B62" s="31" t="s">
        <v>78</v>
      </c>
      <c r="C62" s="1">
        <v>0</v>
      </c>
    </row>
    <row r="63" spans="1:4" s="7" customFormat="1" x14ac:dyDescent="0.2">
      <c r="A63" s="42">
        <f t="shared" ref="A63:A67" si="5">A62+0.01</f>
        <v>7.02</v>
      </c>
      <c r="B63" s="45" t="s">
        <v>77</v>
      </c>
      <c r="C63" s="1">
        <v>0</v>
      </c>
    </row>
    <row r="64" spans="1:4" s="7" customFormat="1" x14ac:dyDescent="0.2">
      <c r="A64" s="42">
        <f t="shared" si="5"/>
        <v>7.0299999999999994</v>
      </c>
      <c r="B64" s="31" t="s">
        <v>76</v>
      </c>
      <c r="C64" s="1">
        <v>0</v>
      </c>
    </row>
    <row r="65" spans="1:3" s="7" customFormat="1" x14ac:dyDescent="0.2">
      <c r="A65" s="42">
        <f t="shared" si="5"/>
        <v>7.0399999999999991</v>
      </c>
      <c r="B65" s="31" t="s">
        <v>75</v>
      </c>
      <c r="C65" s="1">
        <v>0</v>
      </c>
    </row>
    <row r="66" spans="1:3" s="7" customFormat="1" x14ac:dyDescent="0.2">
      <c r="A66" s="42">
        <f t="shared" si="5"/>
        <v>7.0499999999999989</v>
      </c>
      <c r="B66" s="31" t="s">
        <v>74</v>
      </c>
      <c r="C66" s="1">
        <v>0</v>
      </c>
    </row>
    <row r="67" spans="1:3" s="7" customFormat="1" x14ac:dyDescent="0.2">
      <c r="A67" s="42">
        <f t="shared" si="5"/>
        <v>7.0599999999999987</v>
      </c>
      <c r="B67" s="31" t="s">
        <v>73</v>
      </c>
      <c r="C67" s="1">
        <v>0</v>
      </c>
    </row>
    <row r="68" spans="1:3" s="7" customFormat="1" x14ac:dyDescent="0.2">
      <c r="A68" s="43"/>
      <c r="B68" s="43" t="s">
        <v>3</v>
      </c>
      <c r="C68" s="3">
        <f>SUM(C62:C67)</f>
        <v>0</v>
      </c>
    </row>
    <row r="69" spans="1:3" s="7" customFormat="1" ht="15" x14ac:dyDescent="0.2">
      <c r="A69" s="9">
        <v>8</v>
      </c>
      <c r="B69" s="10" t="s">
        <v>33</v>
      </c>
      <c r="C69" s="12"/>
    </row>
    <row r="70" spans="1:3" s="7" customFormat="1" x14ac:dyDescent="0.2">
      <c r="A70" s="42">
        <f>A69+0.01</f>
        <v>8.01</v>
      </c>
      <c r="B70" s="31" t="s">
        <v>36</v>
      </c>
      <c r="C70" s="1">
        <v>0</v>
      </c>
    </row>
    <row r="71" spans="1:3" s="7" customFormat="1" x14ac:dyDescent="0.2">
      <c r="A71" s="42">
        <f t="shared" ref="A71:A72" si="6">A70+0.01</f>
        <v>8.02</v>
      </c>
      <c r="B71" s="31" t="s">
        <v>38</v>
      </c>
      <c r="C71" s="1">
        <v>0</v>
      </c>
    </row>
    <row r="72" spans="1:3" s="7" customFormat="1" x14ac:dyDescent="0.2">
      <c r="A72" s="42">
        <f t="shared" si="6"/>
        <v>8.0299999999999994</v>
      </c>
      <c r="B72" s="31" t="s">
        <v>37</v>
      </c>
      <c r="C72" s="1">
        <v>0</v>
      </c>
    </row>
    <row r="73" spans="1:3" s="7" customFormat="1" x14ac:dyDescent="0.2">
      <c r="A73" s="43"/>
      <c r="B73" s="43" t="s">
        <v>3</v>
      </c>
      <c r="C73" s="3">
        <f>SUM(C70:C72)</f>
        <v>0</v>
      </c>
    </row>
    <row r="74" spans="1:3" s="7" customFormat="1" ht="15" x14ac:dyDescent="0.2">
      <c r="A74" s="9">
        <v>9</v>
      </c>
      <c r="B74" s="10" t="s">
        <v>34</v>
      </c>
      <c r="C74" s="12"/>
    </row>
    <row r="75" spans="1:3" s="7" customFormat="1" x14ac:dyDescent="0.2">
      <c r="A75" s="42">
        <f>A74+0.01</f>
        <v>9.01</v>
      </c>
      <c r="B75" s="31" t="s">
        <v>72</v>
      </c>
      <c r="C75" s="1">
        <v>0</v>
      </c>
    </row>
    <row r="76" spans="1:3" s="7" customFormat="1" x14ac:dyDescent="0.2">
      <c r="A76" s="42">
        <f t="shared" ref="A76" si="7">A75+0.01</f>
        <v>9.02</v>
      </c>
      <c r="B76" s="31" t="s">
        <v>71</v>
      </c>
      <c r="C76" s="1">
        <v>0</v>
      </c>
    </row>
    <row r="77" spans="1:3" s="7" customFormat="1" x14ac:dyDescent="0.2">
      <c r="A77" s="43"/>
      <c r="B77" s="43" t="s">
        <v>3</v>
      </c>
      <c r="C77" s="3">
        <f>SUM(C75:C76)</f>
        <v>0</v>
      </c>
    </row>
    <row r="78" spans="1:3" s="7" customFormat="1" ht="15" x14ac:dyDescent="0.2">
      <c r="A78" s="9">
        <v>10</v>
      </c>
      <c r="B78" s="10" t="s">
        <v>35</v>
      </c>
      <c r="C78" s="12"/>
    </row>
    <row r="79" spans="1:3" s="7" customFormat="1" x14ac:dyDescent="0.2">
      <c r="A79" s="42">
        <f>A78+0.01</f>
        <v>10.01</v>
      </c>
      <c r="B79" s="31" t="s">
        <v>70</v>
      </c>
      <c r="C79" s="1">
        <v>0</v>
      </c>
    </row>
    <row r="80" spans="1:3" s="7" customFormat="1" x14ac:dyDescent="0.2">
      <c r="A80" s="42">
        <f t="shared" ref="A80" si="8">A79+0.01</f>
        <v>10.02</v>
      </c>
      <c r="B80" s="31" t="s">
        <v>69</v>
      </c>
      <c r="C80" s="1">
        <v>0</v>
      </c>
    </row>
    <row r="81" spans="1:3" s="7" customFormat="1" x14ac:dyDescent="0.2">
      <c r="A81" s="43"/>
      <c r="B81" s="43" t="s">
        <v>3</v>
      </c>
      <c r="C81" s="3">
        <f>SUM(C79:C80)</f>
        <v>0</v>
      </c>
    </row>
    <row r="82" spans="1:3" s="49" customFormat="1" ht="15" x14ac:dyDescent="0.2">
      <c r="A82" s="50">
        <v>11</v>
      </c>
      <c r="B82" s="51" t="s">
        <v>42</v>
      </c>
      <c r="C82" s="12"/>
    </row>
    <row r="83" spans="1:3" s="49" customFormat="1" x14ac:dyDescent="0.2">
      <c r="A83" s="42">
        <f>A82+0.01</f>
        <v>11.01</v>
      </c>
      <c r="B83" s="52" t="s">
        <v>68</v>
      </c>
      <c r="C83" s="1">
        <v>0</v>
      </c>
    </row>
    <row r="84" spans="1:3" s="49" customFormat="1" x14ac:dyDescent="0.2">
      <c r="A84" s="42">
        <f t="shared" ref="A84:A88" si="9">A83+0.01</f>
        <v>11.02</v>
      </c>
      <c r="B84" s="52" t="s">
        <v>67</v>
      </c>
      <c r="C84" s="1">
        <v>0</v>
      </c>
    </row>
    <row r="85" spans="1:3" s="49" customFormat="1" x14ac:dyDescent="0.2">
      <c r="A85" s="42">
        <f t="shared" si="9"/>
        <v>11.03</v>
      </c>
      <c r="B85" s="52" t="s">
        <v>66</v>
      </c>
      <c r="C85" s="1">
        <v>0</v>
      </c>
    </row>
    <row r="86" spans="1:3" s="49" customFormat="1" x14ac:dyDescent="0.2">
      <c r="A86" s="42">
        <f t="shared" si="9"/>
        <v>11.04</v>
      </c>
      <c r="B86" s="52" t="s">
        <v>65</v>
      </c>
      <c r="C86" s="1">
        <v>0</v>
      </c>
    </row>
    <row r="87" spans="1:3" s="49" customFormat="1" x14ac:dyDescent="0.2">
      <c r="A87" s="42">
        <f t="shared" si="9"/>
        <v>11.049999999999999</v>
      </c>
      <c r="B87" s="52" t="s">
        <v>64</v>
      </c>
      <c r="C87" s="1">
        <v>0</v>
      </c>
    </row>
    <row r="88" spans="1:3" s="49" customFormat="1" x14ac:dyDescent="0.2">
      <c r="A88" s="42">
        <f t="shared" si="9"/>
        <v>11.059999999999999</v>
      </c>
      <c r="B88" s="52" t="s">
        <v>63</v>
      </c>
      <c r="C88" s="1">
        <v>0</v>
      </c>
    </row>
    <row r="89" spans="1:3" s="49" customFormat="1" x14ac:dyDescent="0.2">
      <c r="A89" s="53"/>
      <c r="B89" s="53" t="s">
        <v>3</v>
      </c>
      <c r="C89" s="3">
        <f>SUM(C83:C88)</f>
        <v>0</v>
      </c>
    </row>
    <row r="90" spans="1:3" s="7" customFormat="1" ht="15" x14ac:dyDescent="0.2">
      <c r="A90" s="9">
        <v>12</v>
      </c>
      <c r="B90" s="10" t="s">
        <v>99</v>
      </c>
      <c r="C90" s="12"/>
    </row>
    <row r="91" spans="1:3" s="7" customFormat="1" x14ac:dyDescent="0.2">
      <c r="A91" s="42">
        <f>A90+0.01</f>
        <v>12.01</v>
      </c>
      <c r="B91" s="31" t="s">
        <v>91</v>
      </c>
      <c r="C91" s="1">
        <v>0</v>
      </c>
    </row>
    <row r="92" spans="1:3" s="7" customFormat="1" x14ac:dyDescent="0.2">
      <c r="A92" s="42">
        <f t="shared" ref="A92:A94" si="10">A91+0.01</f>
        <v>12.02</v>
      </c>
      <c r="B92" s="31" t="s">
        <v>93</v>
      </c>
      <c r="C92" s="1">
        <v>0</v>
      </c>
    </row>
    <row r="93" spans="1:3" s="7" customFormat="1" x14ac:dyDescent="0.2">
      <c r="A93" s="42">
        <f t="shared" si="10"/>
        <v>12.03</v>
      </c>
      <c r="B93" s="31" t="s">
        <v>92</v>
      </c>
      <c r="C93" s="1">
        <v>0</v>
      </c>
    </row>
    <row r="94" spans="1:3" s="7" customFormat="1" x14ac:dyDescent="0.2">
      <c r="A94" s="42">
        <f t="shared" si="10"/>
        <v>12.04</v>
      </c>
      <c r="B94" s="31" t="s">
        <v>94</v>
      </c>
      <c r="C94" s="1">
        <v>0</v>
      </c>
    </row>
    <row r="95" spans="1:3" s="7" customFormat="1" x14ac:dyDescent="0.2">
      <c r="A95" s="42">
        <f t="shared" ref="A95:A98" si="11">A94+0.01</f>
        <v>12.049999999999999</v>
      </c>
      <c r="B95" s="31" t="s">
        <v>95</v>
      </c>
      <c r="C95" s="1">
        <v>0</v>
      </c>
    </row>
    <row r="96" spans="1:3" s="49" customFormat="1" x14ac:dyDescent="0.2">
      <c r="A96" s="42">
        <f t="shared" si="11"/>
        <v>12.059999999999999</v>
      </c>
      <c r="B96" s="52" t="s">
        <v>96</v>
      </c>
      <c r="C96" s="1">
        <v>0</v>
      </c>
    </row>
    <row r="97" spans="1:6" s="49" customFormat="1" x14ac:dyDescent="0.2">
      <c r="A97" s="42">
        <f t="shared" si="11"/>
        <v>12.069999999999999</v>
      </c>
      <c r="B97" s="52" t="s">
        <v>98</v>
      </c>
      <c r="C97" s="1">
        <v>0</v>
      </c>
    </row>
    <row r="98" spans="1:6" s="49" customFormat="1" x14ac:dyDescent="0.2">
      <c r="A98" s="42">
        <f t="shared" si="11"/>
        <v>12.079999999999998</v>
      </c>
      <c r="B98" s="52" t="s">
        <v>97</v>
      </c>
      <c r="C98" s="1">
        <v>0</v>
      </c>
    </row>
    <row r="99" spans="1:6" s="7" customFormat="1" x14ac:dyDescent="0.2">
      <c r="A99" s="43"/>
      <c r="B99" s="43" t="s">
        <v>3</v>
      </c>
      <c r="C99" s="3">
        <f>SUM(C91:C98)</f>
        <v>0</v>
      </c>
    </row>
    <row r="100" spans="1:6" s="7" customFormat="1" ht="15" x14ac:dyDescent="0.2">
      <c r="A100" s="9">
        <v>13</v>
      </c>
      <c r="B100" s="10" t="s">
        <v>9</v>
      </c>
      <c r="C100" s="13"/>
    </row>
    <row r="101" spans="1:6" s="7" customFormat="1" x14ac:dyDescent="0.2">
      <c r="A101" s="42">
        <f>A100+0.01</f>
        <v>13.01</v>
      </c>
      <c r="B101" s="52" t="s">
        <v>89</v>
      </c>
      <c r="C101" s="1">
        <v>0</v>
      </c>
    </row>
    <row r="102" spans="1:6" s="7" customFormat="1" x14ac:dyDescent="0.2">
      <c r="A102" s="42">
        <f t="shared" ref="A102" si="12">A101+0.01</f>
        <v>13.02</v>
      </c>
      <c r="B102" s="52" t="s">
        <v>90</v>
      </c>
      <c r="C102" s="1">
        <v>0</v>
      </c>
    </row>
    <row r="103" spans="1:6" s="7" customFormat="1" x14ac:dyDescent="0.2">
      <c r="A103" s="33"/>
      <c r="B103" s="33" t="s">
        <v>3</v>
      </c>
      <c r="C103" s="3">
        <f>SUM(C101:C102)</f>
        <v>0</v>
      </c>
    </row>
    <row r="104" spans="1:6" s="7" customFormat="1" x14ac:dyDescent="0.2">
      <c r="A104" s="8"/>
      <c r="B104" s="34"/>
      <c r="C104" s="5"/>
      <c r="D104" s="6"/>
      <c r="E104" s="6"/>
      <c r="F104" s="6"/>
    </row>
    <row r="105" spans="1:6" s="7" customFormat="1" x14ac:dyDescent="0.2">
      <c r="A105" s="40"/>
      <c r="B105" s="39" t="s">
        <v>10</v>
      </c>
      <c r="C105" s="3">
        <f>C103+C99+C81+C77+C73+C68+C60+C52+C43+C38+C32+C12+C89</f>
        <v>0</v>
      </c>
      <c r="D105" s="6"/>
      <c r="E105" s="6"/>
      <c r="F105" s="6"/>
    </row>
    <row r="106" spans="1:6" s="7" customFormat="1" x14ac:dyDescent="0.2">
      <c r="A106" s="40"/>
      <c r="B106" s="39" t="s">
        <v>4</v>
      </c>
      <c r="C106" s="3">
        <f>SUM(C105*10%)</f>
        <v>0</v>
      </c>
      <c r="D106" s="6"/>
      <c r="E106" s="6"/>
      <c r="F106" s="6"/>
    </row>
    <row r="107" spans="1:6" x14ac:dyDescent="0.2">
      <c r="A107" s="40"/>
      <c r="B107" s="39" t="s">
        <v>11</v>
      </c>
      <c r="C107" s="3">
        <f>SUM(C105:C106)</f>
        <v>0</v>
      </c>
    </row>
    <row r="108" spans="1:6" x14ac:dyDescent="0.2">
      <c r="A108" s="14"/>
      <c r="B108" s="15"/>
      <c r="C108" s="16"/>
      <c r="D108" s="16"/>
      <c r="E108" s="16"/>
      <c r="F108" s="16"/>
    </row>
    <row r="109" spans="1:6" x14ac:dyDescent="0.2">
      <c r="A109" s="2" t="s">
        <v>2</v>
      </c>
      <c r="B109" s="2" t="s">
        <v>1</v>
      </c>
      <c r="C109" s="2" t="s">
        <v>0</v>
      </c>
    </row>
    <row r="110" spans="1:6" ht="51" x14ac:dyDescent="0.2">
      <c r="A110" s="9"/>
      <c r="B110" s="10" t="s">
        <v>12</v>
      </c>
      <c r="C110" s="12"/>
      <c r="D110" s="7"/>
      <c r="E110" s="7"/>
      <c r="F110" s="7"/>
    </row>
    <row r="111" spans="1:6" x14ac:dyDescent="0.2">
      <c r="A111" s="17"/>
      <c r="B111" s="18"/>
      <c r="C111" s="1">
        <v>0</v>
      </c>
      <c r="D111" s="7"/>
      <c r="E111" s="7"/>
      <c r="F111" s="7"/>
    </row>
    <row r="112" spans="1:6" x14ac:dyDescent="0.2">
      <c r="A112" s="17"/>
      <c r="B112" s="18"/>
      <c r="C112" s="1">
        <v>0</v>
      </c>
      <c r="D112" s="7"/>
      <c r="E112" s="7"/>
      <c r="F112" s="7"/>
    </row>
    <row r="113" spans="1:6" x14ac:dyDescent="0.2">
      <c r="A113" s="17"/>
      <c r="B113" s="18"/>
      <c r="C113" s="1">
        <v>0</v>
      </c>
      <c r="D113" s="7"/>
      <c r="E113" s="7"/>
      <c r="F113" s="7"/>
    </row>
    <row r="114" spans="1:6" x14ac:dyDescent="0.2">
      <c r="A114" s="17"/>
      <c r="B114" s="18"/>
      <c r="C114" s="1">
        <v>0</v>
      </c>
      <c r="D114" s="7"/>
      <c r="E114" s="7"/>
      <c r="F114" s="7"/>
    </row>
    <row r="115" spans="1:6" x14ac:dyDescent="0.2">
      <c r="A115" s="38"/>
      <c r="B115" s="33" t="s">
        <v>3</v>
      </c>
      <c r="C115" s="3">
        <f>SUM(C111:C114)</f>
        <v>0</v>
      </c>
      <c r="D115" s="7"/>
      <c r="E115" s="7"/>
      <c r="F115" s="7"/>
    </row>
    <row r="117" spans="1:6" ht="15" x14ac:dyDescent="0.2">
      <c r="A117" s="9"/>
      <c r="B117" s="10" t="s">
        <v>39</v>
      </c>
      <c r="C117" s="12"/>
    </row>
    <row r="118" spans="1:6" x14ac:dyDescent="0.2">
      <c r="A118" s="17"/>
      <c r="B118" s="46" t="s">
        <v>40</v>
      </c>
      <c r="C118" s="1">
        <v>0</v>
      </c>
    </row>
    <row r="119" spans="1:6" x14ac:dyDescent="0.2">
      <c r="A119" s="17"/>
      <c r="B119" s="46" t="s">
        <v>41</v>
      </c>
      <c r="C119" s="1">
        <v>0</v>
      </c>
    </row>
    <row r="120" spans="1:6" x14ac:dyDescent="0.2">
      <c r="A120" s="17"/>
      <c r="B120" s="18"/>
      <c r="C120" s="1">
        <v>0</v>
      </c>
    </row>
    <row r="121" spans="1:6" x14ac:dyDescent="0.2">
      <c r="A121" s="17"/>
      <c r="B121" s="18"/>
      <c r="C121" s="1">
        <v>0</v>
      </c>
    </row>
    <row r="122" spans="1:6" x14ac:dyDescent="0.2">
      <c r="A122" s="38"/>
      <c r="B122" s="43" t="s">
        <v>3</v>
      </c>
      <c r="C122" s="3">
        <f>SUM(C118:C121)</f>
        <v>0</v>
      </c>
    </row>
  </sheetData>
  <protectedRanges>
    <protectedRange sqref="C105:C107 C110:C115 C117:C122 C7:C103" name="Range1_1"/>
  </protectedRanges>
  <mergeCells count="6">
    <mergeCell ref="A12:B12"/>
    <mergeCell ref="A1:C1"/>
    <mergeCell ref="A2:C2"/>
    <mergeCell ref="A3:C3"/>
    <mergeCell ref="A4:C4"/>
    <mergeCell ref="A5:C5"/>
  </mergeCells>
  <phoneticPr fontId="24" type="noConversion"/>
  <pageMargins left="0.23622047244094491" right="0.23622047244094491" top="0.74803149606299213" bottom="0.74803149606299213" header="0.31496062992125984" footer="0.31496062992125984"/>
  <pageSetup paperSize="9" scale="60" fitToHeight="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79378FEA9396418F6663466C449894" ma:contentTypeVersion="7" ma:contentTypeDescription="Create a new document." ma:contentTypeScope="" ma:versionID="b09dbbf03cf522880f705ac96ecb9533">
  <xsd:schema xmlns:xsd="http://www.w3.org/2001/XMLSchema" xmlns:xs="http://www.w3.org/2001/XMLSchema" xmlns:p="http://schemas.microsoft.com/office/2006/metadata/properties" xmlns:ns2="1e19d4df-1caf-4456-9338-5bf066b32a5d" xmlns:ns3="b0a0d681-45f5-4219-8e78-f7e2d6d8ffb3" xmlns:ns4="0a8a3296-1a43-477b-b7b2-86a5cd0c67ef" targetNamespace="http://schemas.microsoft.com/office/2006/metadata/properties" ma:root="true" ma:fieldsID="00d6afc65e2e2a1e742694dd44385ca2" ns2:_="" ns3:_="" ns4:_="">
    <xsd:import namespace="1e19d4df-1caf-4456-9338-5bf066b32a5d"/>
    <xsd:import namespace="b0a0d681-45f5-4219-8e78-f7e2d6d8ffb3"/>
    <xsd:import namespace="0a8a3296-1a43-477b-b7b2-86a5cd0c67ef"/>
    <xsd:element name="properties">
      <xsd:complexType>
        <xsd:sequence>
          <xsd:element name="documentManagement">
            <xsd:complexType>
              <xsd:all>
                <xsd:element ref="ns2:_dlc_DocId" minOccurs="0"/>
                <xsd:element ref="ns2:_dlc_DocIdUrl" minOccurs="0"/>
                <xsd:element ref="ns2:_dlc_DocIdPersistId" minOccurs="0"/>
                <xsd:element ref="ns3:TaxKeywordTaxHTField" minOccurs="0"/>
                <xsd:element ref="ns3:TaxCatchAll" minOccurs="0"/>
                <xsd:element ref="ns2:SharedWithUsers" minOccurs="0"/>
                <xsd:element ref="ns2:SharedWithDetails"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19d4df-1caf-4456-9338-5bf066b32a5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a0d681-45f5-4219-8e78-f7e2d6d8ffb3" elementFormDefault="qualified">
    <xsd:import namespace="http://schemas.microsoft.com/office/2006/documentManagement/types"/>
    <xsd:import namespace="http://schemas.microsoft.com/office/infopath/2007/PartnerControls"/>
    <xsd:element name="TaxKeywordTaxHTField" ma:index="12" nillable="true" ma:taxonomy="true" ma:internalName="TaxKeywordTaxHTField" ma:taxonomyFieldName="TaxKeyword" ma:displayName="Enterprise Keywords" ma:fieldId="{23f27201-bee3-471e-b2e7-b64fd8b7ca38}" ma:taxonomyMulti="true" ma:sspId="774dbaf4-c062-446c-8ddc-c202d68a401f" ma:termSetId="00000000-0000-0000-0000-000000000000" ma:anchorId="00000000-0000-0000-0000-000000000000" ma:open="true" ma:isKeyword="true">
      <xsd:complexType>
        <xsd:sequence>
          <xsd:element ref="pc:Terms" minOccurs="0" maxOccurs="1"/>
        </xsd:sequence>
      </xsd:complexType>
    </xsd:element>
    <xsd:element name="TaxCatchAll" ma:index="13" nillable="true" ma:displayName="Taxonomy Catch All Column" ma:hidden="true" ma:list="{54811f55-0ae4-4180-aed1-d6de56670360}" ma:internalName="TaxCatchAll" ma:showField="CatchAllData" ma:web="1e19d4df-1caf-4456-9338-5bf066b32a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a8a3296-1a43-477b-b7b2-86a5cd0c67ef"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AutoTags" ma:index="20" nillable="true" ma:displayName="Tags" ma:internalName="MediaServiceAutoTags"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TaxKeywordTaxHTField xmlns="b0a0d681-45f5-4219-8e78-f7e2d6d8ffb3">
      <Terms xmlns="http://schemas.microsoft.com/office/infopath/2007/PartnerControls"/>
    </TaxKeywordTaxHTField>
    <TaxCatchAll xmlns="b0a0d681-45f5-4219-8e78-f7e2d6d8ffb3" xsi:nil="true"/>
    <_dlc_DocId xmlns="1e19d4df-1caf-4456-9338-5bf066b32a5d">PROJECTDOC-891993666-89</_dlc_DocId>
    <_dlc_DocIdUrl xmlns="1e19d4df-1caf-4456-9338-5bf066b32a5d">
      <Url>https://sunshinecoastcouncil.sharepoint.com/sites/pwa/Caloundra Aquatic Centre 50m Heat Pump/_layouts/15/DocIdRedir.aspx?ID=PROJECTDOC-891993666-89</Url>
      <Description>PROJECTDOC-891993666-89</Description>
    </_dlc_DocIdUrl>
  </documentManagement>
</p:properties>
</file>

<file path=customXml/itemProps1.xml><?xml version="1.0" encoding="utf-8"?>
<ds:datastoreItem xmlns:ds="http://schemas.openxmlformats.org/officeDocument/2006/customXml" ds:itemID="{2AAD5D4C-BA9A-4877-9A30-740CC5029EA2}">
  <ds:schemaRefs>
    <ds:schemaRef ds:uri="http://schemas.microsoft.com/office/2006/metadata/longProperties"/>
  </ds:schemaRefs>
</ds:datastoreItem>
</file>

<file path=customXml/itemProps2.xml><?xml version="1.0" encoding="utf-8"?>
<ds:datastoreItem xmlns:ds="http://schemas.openxmlformats.org/officeDocument/2006/customXml" ds:itemID="{ADFF571E-1CDA-4149-9A97-3ACACE24A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19d4df-1caf-4456-9338-5bf066b32a5d"/>
    <ds:schemaRef ds:uri="b0a0d681-45f5-4219-8e78-f7e2d6d8ffb3"/>
    <ds:schemaRef ds:uri="0a8a3296-1a43-477b-b7b2-86a5cd0c67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7332C4-D2B1-4977-B417-58CCD9D42C7E}">
  <ds:schemaRefs>
    <ds:schemaRef ds:uri="http://schemas.microsoft.com/sharepoint/v3/contenttype/forms"/>
  </ds:schemaRefs>
</ds:datastoreItem>
</file>

<file path=customXml/itemProps4.xml><?xml version="1.0" encoding="utf-8"?>
<ds:datastoreItem xmlns:ds="http://schemas.openxmlformats.org/officeDocument/2006/customXml" ds:itemID="{7E9DB6E3-5C28-413C-88C5-BD5D6C32B322}">
  <ds:schemaRefs>
    <ds:schemaRef ds:uri="http://schemas.microsoft.com/sharepoint/events"/>
  </ds:schemaRefs>
</ds:datastoreItem>
</file>

<file path=customXml/itemProps5.xml><?xml version="1.0" encoding="utf-8"?>
<ds:datastoreItem xmlns:ds="http://schemas.openxmlformats.org/officeDocument/2006/customXml" ds:itemID="{4B6970AD-367F-4D23-AAB7-5AF5B4D1026C}">
  <ds:schemaRefs>
    <ds:schemaRef ds:uri="http://schemas.openxmlformats.org/package/2006/metadata/core-properties"/>
    <ds:schemaRef ds:uri="http://purl.org/dc/elements/1.1/"/>
    <ds:schemaRef ds:uri="http://purl.org/dc/dcmitype/"/>
    <ds:schemaRef ds:uri="http://schemas.microsoft.com/office/infopath/2007/PartnerControls"/>
    <ds:schemaRef ds:uri="http://schemas.microsoft.com/office/2006/documentManagement/types"/>
    <ds:schemaRef ds:uri="1e19d4df-1caf-4456-9338-5bf066b32a5d"/>
    <ds:schemaRef ds:uri="http://purl.org/dc/terms/"/>
    <ds:schemaRef ds:uri="http://schemas.microsoft.com/office/2006/metadata/properties"/>
    <ds:schemaRef ds:uri="http://www.w3.org/XML/1998/namespace"/>
    <ds:schemaRef ds:uri="0a8a3296-1a43-477b-b7b2-86a5cd0c67ef"/>
    <ds:schemaRef ds:uri="b0a0d681-45f5-4219-8e78-f7e2d6d8ff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Sippy Downs Depot</vt:lpstr>
      <vt:lpstr>'Sippy Downs Depot'!Print_Area</vt:lpstr>
    </vt:vector>
  </TitlesOfParts>
  <Company>msc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Schedule 6 - Appendix 2 - Pricing Schedule (SAMPLE ONLY)</dc:title>
  <dc:creator>dar</dc:creator>
  <cp:lastModifiedBy>Arash Samadi</cp:lastModifiedBy>
  <cp:lastPrinted>2022-02-01T21:50:47Z</cp:lastPrinted>
  <dcterms:created xsi:type="dcterms:W3CDTF">2010-12-16T05:33:36Z</dcterms:created>
  <dcterms:modified xsi:type="dcterms:W3CDTF">2022-02-01T21:50:51Z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Display_name">
    <vt:lpwstr>pricing_breakdown</vt:lpwstr>
  </property>
  <property fmtid="{D5CDD505-2E9C-101B-9397-08002B2CF9AE}" pid="4" name="Document_type">
    <vt:lpwstr>Invitation</vt:lpwstr>
  </property>
  <property fmtid="{D5CDD505-2E9C-101B-9397-08002B2CF9AE}" pid="5" name="Order">
    <vt:lpwstr>3500.00000000000</vt:lpwstr>
  </property>
  <property fmtid="{D5CDD505-2E9C-101B-9397-08002B2CF9AE}" pid="6" name="ContentTypeId">
    <vt:lpwstr>0x0101009C79378FEA9396418F6663466C449894</vt:lpwstr>
  </property>
  <property fmtid="{D5CDD505-2E9C-101B-9397-08002B2CF9AE}" pid="7" name="_dlc_DocIdItemGuid">
    <vt:lpwstr>85f91f61-65ca-425c-8f9e-64dd054a2b4c</vt:lpwstr>
  </property>
  <property fmtid="{D5CDD505-2E9C-101B-9397-08002B2CF9AE}" pid="8" name="TaxKeyword">
    <vt:lpwstr/>
  </property>
</Properties>
</file>