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meritgroupo365-my.sharepoint.com/personal/sowmya_vivek_meritgroup_co_uk/Documents/onedrive_backup/driveme_group/"/>
    </mc:Choice>
  </mc:AlternateContent>
  <xr:revisionPtr revIDLastSave="0" documentId="8_{77426F08-8DAF-4F2D-B65F-069BE3BF0A6E}" xr6:coauthVersionLast="47" xr6:coauthVersionMax="47" xr10:uidLastSave="{00000000-0000-0000-0000-000000000000}"/>
  <bookViews>
    <workbookView minimized="1" xWindow="0" yWindow="0" windowWidth="2400" windowHeight="585" firstSheet="1" xr2:uid="{B63C77BF-DEDB-4C90-81B2-6B8F85D086D7}"/>
  </bookViews>
  <sheets>
    <sheet name="AIML_cost" sheetId="4" r:id="rId1"/>
    <sheet name="DataHarvesting_CostEstimation" sheetId="7" r:id="rId2"/>
    <sheet name="AIML_COST_SUMMARY" sheetId="5" r:id="rId3"/>
    <sheet name="API Integration" sheetId="9" r:id="rId4"/>
    <sheet name="For Proposal Costing Table" sheetId="8" r:id="rId5"/>
    <sheet name="from_BCL_estimate" sheetId="6" r:id="rId6"/>
    <sheet name="lookup" sheetId="3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4" l="1"/>
  <c r="K49" i="4"/>
  <c r="F40" i="7"/>
  <c r="D16" i="9"/>
  <c r="F16" i="9"/>
  <c r="H10" i="7"/>
  <c r="H11" i="7"/>
  <c r="H12" i="7"/>
  <c r="E40" i="7"/>
  <c r="I39" i="4"/>
  <c r="I38" i="4"/>
  <c r="G39" i="4"/>
  <c r="G38" i="4"/>
  <c r="B44" i="4"/>
  <c r="F5" i="8"/>
  <c r="L21" i="8"/>
  <c r="L20" i="8"/>
  <c r="F3" i="8"/>
  <c r="F2" i="8"/>
  <c r="E33" i="7"/>
  <c r="L22" i="9"/>
  <c r="L23" i="9"/>
  <c r="L24" i="9"/>
  <c r="L25" i="9"/>
  <c r="L30" i="9" s="1"/>
  <c r="L26" i="9"/>
  <c r="L27" i="9"/>
  <c r="L28" i="9"/>
  <c r="L29" i="9"/>
  <c r="L21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7" i="9"/>
  <c r="B10" i="8" s="1"/>
  <c r="F2" i="9"/>
  <c r="D17" i="9"/>
  <c r="K30" i="9"/>
  <c r="D28" i="8"/>
  <c r="D26" i="8"/>
  <c r="D21" i="8"/>
  <c r="D22" i="8" s="1"/>
  <c r="D17" i="8"/>
  <c r="B3" i="8"/>
  <c r="A9" i="8"/>
  <c r="A8" i="8"/>
  <c r="A7" i="8"/>
  <c r="A6" i="8"/>
  <c r="A5" i="8"/>
  <c r="A4" i="8"/>
  <c r="A3" i="8"/>
  <c r="D10" i="7"/>
  <c r="E22" i="7"/>
  <c r="C25" i="7"/>
  <c r="C24" i="7"/>
  <c r="D24" i="7"/>
  <c r="C20" i="7"/>
  <c r="E20" i="7" s="1"/>
  <c r="C19" i="7"/>
  <c r="E19" i="7" s="1"/>
  <c r="C18" i="7"/>
  <c r="E18" i="7" s="1"/>
  <c r="C17" i="7"/>
  <c r="E17" i="7" s="1"/>
  <c r="C15" i="7"/>
  <c r="E15" i="7" s="1"/>
  <c r="C12" i="7"/>
  <c r="E12" i="7" s="1"/>
  <c r="C10" i="7"/>
  <c r="E10" i="7" s="1"/>
  <c r="C6" i="7"/>
  <c r="E6" i="7" s="1"/>
  <c r="H13" i="7" l="1"/>
  <c r="D27" i="8"/>
  <c r="D31" i="8"/>
  <c r="D25" i="7"/>
  <c r="E25" i="7" s="1"/>
  <c r="D26" i="7"/>
  <c r="E24" i="7"/>
  <c r="E26" i="7" s="1"/>
  <c r="F26" i="7" s="1"/>
  <c r="B2" i="8" s="1"/>
  <c r="C11" i="5"/>
  <c r="B9" i="5"/>
  <c r="C9" i="5"/>
  <c r="B12" i="8" s="1"/>
  <c r="B8" i="5"/>
  <c r="A43" i="4"/>
  <c r="A42" i="4"/>
  <c r="A41" i="4"/>
  <c r="B4" i="5"/>
  <c r="C2" i="5"/>
  <c r="B17" i="4"/>
  <c r="B38" i="4" s="1"/>
  <c r="D53" i="4"/>
  <c r="D54" i="4"/>
  <c r="D49" i="4" s="1"/>
  <c r="D58" i="4"/>
  <c r="D59" i="4"/>
  <c r="C30" i="4"/>
  <c r="D30" i="4" s="1"/>
  <c r="C18" i="4"/>
  <c r="D18" i="4" s="1"/>
  <c r="B43" i="4"/>
  <c r="C20" i="4"/>
  <c r="D20" i="4" s="1"/>
  <c r="C21" i="4"/>
  <c r="D21" i="4" s="1"/>
  <c r="C22" i="4"/>
  <c r="D22" i="4" s="1"/>
  <c r="C23" i="4"/>
  <c r="D23" i="4"/>
  <c r="C24" i="4"/>
  <c r="D24" i="4"/>
  <c r="C25" i="4"/>
  <c r="D25" i="4" s="1"/>
  <c r="C26" i="4"/>
  <c r="D26" i="4" s="1"/>
  <c r="C27" i="4"/>
  <c r="D27" i="4" s="1"/>
  <c r="C9" i="4"/>
  <c r="D9" i="4" s="1"/>
  <c r="C10" i="4"/>
  <c r="D10" i="4" s="1"/>
  <c r="C11" i="4"/>
  <c r="D11" i="4"/>
  <c r="C12" i="4"/>
  <c r="D12" i="4" s="1"/>
  <c r="C13" i="4"/>
  <c r="D13" i="4" s="1"/>
  <c r="C14" i="4"/>
  <c r="D14" i="4"/>
  <c r="C15" i="4"/>
  <c r="D15" i="4" s="1"/>
  <c r="C16" i="4"/>
  <c r="D16" i="4" s="1"/>
  <c r="B7" i="4"/>
  <c r="B3" i="5" s="1"/>
  <c r="C19" i="4"/>
  <c r="D19" i="4" s="1"/>
  <c r="C8" i="4"/>
  <c r="D8" i="4" s="1"/>
  <c r="D61" i="4"/>
  <c r="C38" i="4"/>
  <c r="C37" i="4"/>
  <c r="C35" i="4"/>
  <c r="D35" i="4" s="1"/>
  <c r="C34" i="4"/>
  <c r="D34" i="4" s="1"/>
  <c r="C33" i="4"/>
  <c r="D33" i="4" s="1"/>
  <c r="B32" i="4"/>
  <c r="B6" i="5" s="1"/>
  <c r="C31" i="4"/>
  <c r="D31" i="4" s="1"/>
  <c r="C29" i="4"/>
  <c r="D29" i="4" s="1"/>
  <c r="D28" i="4" s="1"/>
  <c r="C5" i="5" s="1"/>
  <c r="B6" i="8" s="1"/>
  <c r="B28" i="4"/>
  <c r="B5" i="5" s="1"/>
  <c r="D17" i="4" l="1"/>
  <c r="C4" i="5" s="1"/>
  <c r="B5" i="8" s="1"/>
  <c r="D7" i="4"/>
  <c r="C3" i="5" s="1"/>
  <c r="B4" i="8" s="1"/>
  <c r="B41" i="4"/>
  <c r="B42" i="4"/>
  <c r="D32" i="4"/>
  <c r="C6" i="5" s="1"/>
  <c r="B7" i="8" s="1"/>
  <c r="D60" i="4"/>
  <c r="D64" i="4" s="1"/>
  <c r="D38" i="4"/>
  <c r="B37" i="4"/>
  <c r="B36" i="4" s="1"/>
  <c r="B39" i="4" l="1"/>
  <c r="B7" i="5"/>
  <c r="D37" i="4"/>
  <c r="D36" i="4" s="1"/>
  <c r="D40" i="4" l="1"/>
  <c r="D44" i="4" s="1"/>
  <c r="C7" i="5"/>
  <c r="B8" i="8" s="1"/>
  <c r="D41" i="4" l="1"/>
  <c r="D42" i="4"/>
  <c r="D43" i="4"/>
  <c r="D45" i="4" l="1"/>
  <c r="C8" i="5" s="1"/>
  <c r="C10" i="5" l="1"/>
  <c r="C5" i="6" s="1"/>
  <c r="B9" i="8"/>
  <c r="B11" i="8" s="1"/>
  <c r="B14" i="8" s="1"/>
</calcChain>
</file>

<file path=xl/sharedStrings.xml><?xml version="1.0" encoding="utf-8"?>
<sst xmlns="http://schemas.openxmlformats.org/spreadsheetml/2006/main" count="441" uniqueCount="310">
  <si>
    <t>A. Customisation and Deployment of Solution  - One off Cost</t>
  </si>
  <si>
    <t xml:space="preserve">AI chatbot - AI/ML  Solution Development </t>
  </si>
  <si>
    <t>One-Time Framework Cost (Reusable KIAA Components)</t>
  </si>
  <si>
    <t>Description</t>
  </si>
  <si>
    <t>total_cost</t>
  </si>
  <si>
    <r>
      <t>KIAA Converse Framework</t>
    </r>
    <r>
      <rPr>
        <sz val="11"/>
        <color theme="1"/>
        <rFont val="Aptos Narrow"/>
        <family val="2"/>
        <scheme val="minor"/>
      </rPr>
      <t xml:space="preserve"> – Conversational AI with RAG-based responses, hybrid flows, and contextual retrieval</t>
    </r>
  </si>
  <si>
    <t>hrs</t>
  </si>
  <si>
    <t>Cost per hour</t>
  </si>
  <si>
    <t>Planning - Customising AIML Framework for current requirement</t>
  </si>
  <si>
    <t>Data Source Audit &amp; Selection – mapping vehicle listings, FAQs, policies, and CRM content.</t>
  </si>
  <si>
    <t>Schema Design &amp; Entity Mapping – defining tagging schema for car-related attributes (make, model, pricing, policies)</t>
  </si>
  <si>
    <t>Knowledge Structuring Plan – defining how data will be represented (vector store + metadata graph).</t>
  </si>
  <si>
    <t>RAG Architecture Design – defining retriever ranker setup, context window strategy, and grounding source hierarchy.</t>
  </si>
  <si>
    <t>Prompt Design &amp; Response Strategy – defining how the LLM responds, clarifies, or escalates</t>
  </si>
  <si>
    <t>Memory &amp; Personalization Writebacks - Plan structure for storing user memory (preferences, chat summary).</t>
  </si>
  <si>
    <t>Evaluation Metric Definition – defining key metrics: retrieval precision, latency, factual accuracy.</t>
  </si>
  <si>
    <t>Output &amp; Integration Schema Design – define canonical AI_Response schema, downstream mappings (CRM, UI, analytics), structured outputs (text, cards, quick replies), and escalation payloads.</t>
  </si>
  <si>
    <t>Plan for data refresh &amp; governance</t>
  </si>
  <si>
    <t>Development - AIML Framework</t>
  </si>
  <si>
    <t>Knowledge Base Connector Setup: Integrate website FAQs, documents, and spreadsheets with the RAG indexing pipeline.</t>
  </si>
  <si>
    <t>Data Curation &amp; Pre-processing – cleaning extracted website and policy data, removing redundancy.</t>
  </si>
  <si>
    <t>Semantic Tagging Model Adaptation – applying and testing tagging schema for automotive context.</t>
  </si>
  <si>
    <t>Knowledge Graph Construction – linking structured (CRM, inventory) and unstructured (web) sources.</t>
  </si>
  <si>
    <t>Vector Store &amp; Embedding Indexing – setting up hybrid store for semantic + keyword retrieval.</t>
  </si>
  <si>
    <t>RAG Pipeline Implementation – orchestrating retriever, ranker, and response generator.</t>
  </si>
  <si>
    <t>Agentic Workflow Implementation – implementing decision logic (answer / clarify / escalate).</t>
  </si>
  <si>
    <t>Confidence &amp; Guardrail Routing - Define thresholds and escalation rules based on confidence, intent, or sentiment.</t>
  </si>
  <si>
    <t>Testing &amp; Validation – model evaluation, hallucination control, and accuracy tuning.</t>
  </si>
  <si>
    <t>Continuous Learning Hooks – setting up retraining triggers and feedback loop capture</t>
  </si>
  <si>
    <t>Integration Effort</t>
  </si>
  <si>
    <t xml:space="preserve">Integration with Zoho CRM </t>
  </si>
  <si>
    <t>Feedback loop integration</t>
  </si>
  <si>
    <t>Integration testing</t>
  </si>
  <si>
    <t>Documentation - AIML Framework</t>
  </si>
  <si>
    <t>Code Standardization</t>
  </si>
  <si>
    <t>Code Documentation</t>
  </si>
  <si>
    <t>Documentation - user manual</t>
  </si>
  <si>
    <t>Testing - AIML Framework</t>
  </si>
  <si>
    <t>AI/ML</t>
  </si>
  <si>
    <t xml:space="preserve">API </t>
  </si>
  <si>
    <t>Unit testing</t>
  </si>
  <si>
    <t>Data quality </t>
  </si>
  <si>
    <t>Total Production Man Hours</t>
  </si>
  <si>
    <t>Total Cost</t>
  </si>
  <si>
    <t>Week 1 - Week 5</t>
  </si>
  <si>
    <t>Output shared on Week 4</t>
  </si>
  <si>
    <t xml:space="preserve">Project duration </t>
  </si>
  <si>
    <t>6 weeks</t>
  </si>
  <si>
    <t>Contingency @ 0.2</t>
  </si>
  <si>
    <t>PM &amp; Contingency</t>
  </si>
  <si>
    <t>Grand Total - One time setup Cost</t>
  </si>
  <si>
    <t>Infrastructure + token costs 
( * Approximate one time Set up cost for development but will be charged on actuals)</t>
  </si>
  <si>
    <t>Total Infra cost for initial phase</t>
  </si>
  <si>
    <t>Virtual Machine(Ubuntu) - AMD EPYC 9554 - CPU-8x-32GB</t>
  </si>
  <si>
    <t>Azure</t>
  </si>
  <si>
    <t>Open AI - token cost</t>
  </si>
  <si>
    <t>Average Token Cost per Conversation</t>
  </si>
  <si>
    <t>Conversations per day 90 * 25 days</t>
  </si>
  <si>
    <t>Overall token cost for PoC</t>
  </si>
  <si>
    <t xml:space="preserve"> BAU - Ongoing Recurring Cost</t>
  </si>
  <si>
    <t>Average Token cost  per conversation (based on current pricing of openAI and the samples provided) - Alternate between usage of 4o, o3 and o4-mini based on type of response</t>
  </si>
  <si>
    <t>Overall token costs per month</t>
  </si>
  <si>
    <t>Support and Maintenance  (Tech Resources) - 0.25 FTE ML engineer per month</t>
  </si>
  <si>
    <t>Solution running cost</t>
  </si>
  <si>
    <t xml:space="preserve"> BAU - Ongoing Recurring Cost - monthly</t>
  </si>
  <si>
    <t>Robust Solution Development for Automotive data scraping</t>
  </si>
  <si>
    <t> </t>
  </si>
  <si>
    <t>I. Design, Development and Deployment of Solution  - One off Cost</t>
  </si>
  <si>
    <t>S.No</t>
  </si>
  <si>
    <t xml:space="preserve">Project Task / Activity Description </t>
  </si>
  <si>
    <t>Effort in Hours</t>
  </si>
  <si>
    <t>Planning, Design and System Set up </t>
  </si>
  <si>
    <t>Solution Approach (System Architecture and Database Design)</t>
  </si>
  <si>
    <t>plan</t>
  </si>
  <si>
    <t>dev</t>
  </si>
  <si>
    <t>testing</t>
  </si>
  <si>
    <t>pm</t>
  </si>
  <si>
    <t>Infrastructure Setup</t>
  </si>
  <si>
    <t>Labor cost</t>
  </si>
  <si>
    <t>Scraper Development/Configuration</t>
  </si>
  <si>
    <t>Scraper Configuration(The effort includes collection of all details from the home page and the FAQ details)</t>
  </si>
  <si>
    <t>Data Transformation, Logging, Alerts, Reports and Delivery</t>
  </si>
  <si>
    <t>Download and Upload processed files(Raw responses will be stored)</t>
  </si>
  <si>
    <t>Logging</t>
  </si>
  <si>
    <t>Data Quality &amp; Validation</t>
  </si>
  <si>
    <t>Automated Checks - Data Validation</t>
  </si>
  <si>
    <t>UAT Issue Fixes</t>
  </si>
  <si>
    <t>Integration and Deployment</t>
  </si>
  <si>
    <t>Documentation</t>
  </si>
  <si>
    <t>Project Management</t>
  </si>
  <si>
    <t>Project Management Charges(PM and BAs)</t>
  </si>
  <si>
    <t xml:space="preserve">Infrastructure Charges During Set Up </t>
  </si>
  <si>
    <t>To be paid on actuals</t>
  </si>
  <si>
    <t>Total Estimated Hours</t>
  </si>
  <si>
    <t>Buffer for Contingencies(10%)</t>
  </si>
  <si>
    <t xml:space="preserve">Total Set Up Costs </t>
  </si>
  <si>
    <r>
      <t>*</t>
    </r>
    <r>
      <rPr>
        <sz val="11"/>
        <color rgb="FF000000"/>
        <rFont val="Aptos Narrow"/>
      </rPr>
      <t xml:space="preserve"> Note :Costs will be impacted if scraper schedule changes to daily/ monthly or any other custom schedule</t>
    </r>
  </si>
  <si>
    <t xml:space="preserve">II. BAU - Ongoing Recurring Cost (Scrpaers Run Daily *) - Monthly Charges </t>
  </si>
  <si>
    <t>II.1</t>
  </si>
  <si>
    <t>Support and Maintenance Resources</t>
  </si>
  <si>
    <t>FTE(Quantity)</t>
  </si>
  <si>
    <t>Cost</t>
  </si>
  <si>
    <t>II.1.a</t>
  </si>
  <si>
    <t>Support and Maintenance  (Tech Resources)</t>
  </si>
  <si>
    <t xml:space="preserve">I.2 </t>
  </si>
  <si>
    <t>Infrastructire Charges During BAU</t>
  </si>
  <si>
    <t>Azure infra costs</t>
  </si>
  <si>
    <t>II.2.a</t>
  </si>
  <si>
    <t>Proxies for Scraping(3 Ips)</t>
  </si>
  <si>
    <t xml:space="preserve">Approximately </t>
  </si>
  <si>
    <t>II.2.b</t>
  </si>
  <si>
    <t>Virtual Machine(Ubuntu)</t>
  </si>
  <si>
    <t>1 B4as v2 (4 vCPUs, 16 GB RAM) x 730 Hours (Pay as you go), Linux,  (Pay as you go); 1 managed disk – E6; Inter Region transfer type, 5 GB outbound data transfer from UK South to East Asia</t>
  </si>
  <si>
    <t>II.2.c</t>
  </si>
  <si>
    <t>MySQL</t>
  </si>
  <si>
    <t xml:space="preserve">Flexible Server Deployment, General Purpose Tier, 1 D4DS v4 (4 vCores) x 730 Hours, 300 GB Storage with LRS redundancy, 100 million Paid IO, 0 GB Additional Backup storage with LRS, without High availability
</t>
  </si>
  <si>
    <t>II.2.d</t>
  </si>
  <si>
    <t>Document Storage</t>
  </si>
  <si>
    <t>II.2.e</t>
  </si>
  <si>
    <t>Back-up</t>
  </si>
  <si>
    <t>Total Monthly Cost</t>
  </si>
  <si>
    <t>Notes</t>
  </si>
  <si>
    <t>Infrastructure costs may vary depending on changes to the scraper execution frequency, such as transitioning to daily, monthly, or other custom schedules.</t>
  </si>
  <si>
    <t>This effort estimation is applicable solely to the data sources outlined in this proposal. Integration of any new sources in the future will require separate complexity assessment and effort estimation.</t>
  </si>
  <si>
    <t>The proposed infrastructure is capable of supporting the concurrent operation of 5 to 10 scraper instances.</t>
  </si>
  <si>
    <t>Any website changes will be billed at £25 per hour. If a site changes, we will first analyse the impact and then provide an estimate of the effort required to update our scraper configuration accordingly.</t>
  </si>
  <si>
    <t>Hours</t>
  </si>
  <si>
    <t>KIAA Converse Framework – Conversational AI with RAG-based responses, hybrid flows, and contextual retrieval</t>
  </si>
  <si>
    <t>Total One-time development Cost - AIML</t>
  </si>
  <si>
    <t>#</t>
  </si>
  <si>
    <t>Activity</t>
  </si>
  <si>
    <t>Est. hours</t>
  </si>
  <si>
    <t>Hourly Cost</t>
  </si>
  <si>
    <t>Total</t>
  </si>
  <si>
    <t>Environments &amp; foundations</t>
  </si>
  <si>
    <t>RGs, Bot reg, App Insights, Key Vault, baseline IaC</t>
  </si>
  <si>
    <t>Zoho OAuth2 setup</t>
  </si>
  <si>
    <t>Zoho app, consent, refresh-token flow, Key Vault wiring</t>
  </si>
  <si>
    <t>APIM façade</t>
  </si>
  <si>
    <t>Products, policies (retry/jitter, 429s), PII masking, logging</t>
  </si>
  <si>
    <t>Contact upsert</t>
  </si>
  <si>
    <t>Email/phone dedupe, create/update, validation, tests</t>
  </si>
  <si>
    <t>Deal create/update</t>
  </si>
  <si>
    <t>Link to Contact, default pipeline/stage, idempotency</t>
  </si>
  <si>
    <t>Context fetch middleware</t>
  </si>
  <si>
    <t>Cosmos profile cache, Zoho lookups (status, last deal), language pref</t>
  </si>
  <si>
    <t>Open tickets (Zoho Desk)</t>
  </si>
  <si>
    <t>Ticket lookup, mapping, resilient fallbacks</t>
  </si>
  <si>
    <t>Chat history</t>
  </si>
  <si>
    <t>Cosmos schema + write/read path for agent handoff</t>
  </si>
  <si>
    <t>Webhooks</t>
  </si>
  <si>
    <t>Zoho CRM/Desk → Event Grid → Functions, cache refresh</t>
  </si>
  <si>
    <t>Analytics &amp; KPIs</t>
  </si>
  <si>
    <t>Event schema, KQL queries, Power BI dashboard, optional nightly CRM roll-up</t>
  </si>
  <si>
    <t>Security &amp; compliance</t>
  </si>
  <si>
    <t>RBAC, secrets, private endpoints (where used), audit</t>
  </si>
  <si>
    <t>CI/CD</t>
  </si>
  <si>
    <t>Pipelines for Functions &amp; infra (Bicep/Terraform), slot swaps</t>
  </si>
  <si>
    <t>QA &amp; performance</t>
  </si>
  <si>
    <t>Test cases, mock Zoho, load to weekend peak, defect fixes</t>
  </si>
  <si>
    <t>UAT &amp; handover</t>
  </si>
  <si>
    <t>UAT support, runbook, admin docs/training</t>
  </si>
  <si>
    <t>Contingency (≈20% of eng.)</t>
  </si>
  <si>
    <t>Scope wiggle (fields, reports, Desk access)</t>
  </si>
  <si>
    <t>Infra</t>
  </si>
  <si>
    <t>Resource</t>
  </si>
  <si>
    <t>Purpose</t>
  </si>
  <si>
    <t>Suggested SKU / Meter</t>
  </si>
  <si>
    <t>Unit price (USD)</t>
  </si>
  <si>
    <t>Usage assumption</t>
  </si>
  <si>
    <t>Est. monthly</t>
  </si>
  <si>
    <t>Est. monthly in GBP</t>
  </si>
  <si>
    <t>Azure API Management</t>
  </si>
  <si>
    <t>Secure Zoho calls, policies, observability</t>
  </si>
  <si>
    <r>
      <t>Basic v2</t>
    </r>
    <r>
      <rPr>
        <sz val="11"/>
        <color theme="1"/>
        <rFont val="Aptos Narrow"/>
        <family val="2"/>
        <scheme val="minor"/>
      </rPr>
      <t xml:space="preserve"> (prod)</t>
    </r>
  </si>
  <si>
    <t>~$150/mo</t>
  </si>
  <si>
    <t>1 unit</t>
  </si>
  <si>
    <r>
      <t>Developer</t>
    </r>
    <r>
      <rPr>
        <sz val="11"/>
        <color theme="1"/>
        <rFont val="Aptos Narrow"/>
        <family val="2"/>
        <scheme val="minor"/>
      </rPr>
      <t xml:space="preserve"> (non-prod)</t>
    </r>
  </si>
  <si>
    <t>~$48/mo</t>
  </si>
  <si>
    <t>1 unit (dev/test only)</t>
  </si>
  <si>
    <t>Azure Functions (Consumption)</t>
  </si>
  <si>
    <t>OAuth/token svc, upserts, context, webhooks</t>
  </si>
  <si>
    <r>
      <t xml:space="preserve">Execs: first </t>
    </r>
    <r>
      <rPr>
        <sz val="11"/>
        <color theme="1"/>
        <rFont val="Aptos Narrow"/>
        <family val="2"/>
        <scheme val="minor"/>
      </rPr>
      <t>1M free; 400k GB-s free</t>
    </r>
  </si>
  <si>
    <t>$0.20 / 1M execs; ~$0.000016/GB-s</t>
  </si>
  <si>
    <t>~17.4k execs, ~4.3k GB-s → all within free grants</t>
  </si>
  <si>
    <t>Azure Event Grid</t>
  </si>
  <si>
    <t>Receive Zoho webhooks → Functions</t>
  </si>
  <si>
    <t>Basic tier</t>
  </si>
  <si>
    <r>
      <t xml:space="preserve">$0.60 / 1M ops; </t>
    </r>
    <r>
      <rPr>
        <sz val="11"/>
        <color theme="1"/>
        <rFont val="Aptos Narrow"/>
        <family val="2"/>
        <scheme val="minor"/>
      </rPr>
      <t>first 100k free</t>
    </r>
  </si>
  <si>
    <t>~5–20k events/mo</t>
  </si>
  <si>
    <t>Azure Key Vault (Standard)</t>
  </si>
  <si>
    <t>Secrets: Zoho client/secret/refresh token</t>
  </si>
  <si>
    <t>$0.03 / 10k ops</t>
  </si>
  <si>
    <t>~20k ops/mo</t>
  </si>
  <si>
    <t>$0.06</t>
  </si>
  <si>
    <t>Azure Cosmos DB (Serverless)</t>
  </si>
  <si>
    <t>Profile cache + chat snippets</t>
  </si>
  <si>
    <r>
      <t>$0.25 / 1M RU</t>
    </r>
    <r>
      <rPr>
        <sz val="11"/>
        <color theme="1"/>
        <rFont val="Aptos Narrow"/>
        <family val="2"/>
        <scheme val="minor"/>
      </rPr>
      <t xml:space="preserve"> + storage</t>
    </r>
  </si>
  <si>
    <t>~0.1–1M RU + 1–5 GB</t>
  </si>
  <si>
    <t>$0.03–$1.50</t>
  </si>
  <si>
    <t>Azure Monitor / App Insights</t>
  </si>
  <si>
    <t>Telemetry + KPI events</t>
  </si>
  <si>
    <t>Data ingestion</t>
  </si>
  <si>
    <r>
      <t>~</t>
    </r>
    <r>
      <rPr>
        <sz val="11"/>
        <color theme="1"/>
        <rFont val="Aptos Narrow"/>
        <family val="2"/>
        <scheme val="minor"/>
      </rPr>
      <t>$2–$3 per GB (region-dependent)</t>
    </r>
  </si>
  <si>
    <t>~0.5–2 GB/mo typical for this load</t>
  </si>
  <si>
    <t>Azure Storage (optional)</t>
  </si>
  <si>
    <t>Blob for exports/backups</t>
  </si>
  <si>
    <t>Hot LRS</t>
  </si>
  <si>
    <t>~$0.018/GB-mo</t>
  </si>
  <si>
    <t>5 GB</t>
  </si>
  <si>
    <t>Azure Bot Service</t>
  </si>
  <si>
    <t>Channel hookup</t>
  </si>
  <si>
    <t>Standard channels free</t>
  </si>
  <si>
    <t>—</t>
  </si>
  <si>
    <t>USD</t>
  </si>
  <si>
    <r>
      <t xml:space="preserve">Description </t>
    </r>
    <r>
      <rPr>
        <sz val="12"/>
        <color rgb="FF000000"/>
        <rFont val="BDO Grotesk"/>
        <charset val="1"/>
      </rPr>
      <t>​</t>
    </r>
  </si>
  <si>
    <r>
      <t xml:space="preserve">Cost </t>
    </r>
    <r>
      <rPr>
        <sz val="12"/>
        <color rgb="FF000000"/>
        <rFont val="BDO Grotesk"/>
        <charset val="1"/>
      </rPr>
      <t>​</t>
    </r>
  </si>
  <si>
    <t>BAU Costing</t>
  </si>
  <si>
    <r>
      <rPr>
        <sz val="12"/>
        <color rgb="FF164055"/>
        <rFont val="BDO Grotesk"/>
      </rPr>
      <t xml:space="preserve">Solution Design, System Set and Configuration </t>
    </r>
    <r>
      <rPr>
        <sz val="12"/>
        <color rgb="FF000000"/>
        <rFont val="BDO Grotesk"/>
      </rPr>
      <t>for Data Harvesting</t>
    </r>
  </si>
  <si>
    <t>Tech Support Resource for Scraping</t>
  </si>
  <si>
    <t>S.No​</t>
  </si>
  <si>
    <t>Description​</t>
  </si>
  <si>
    <t>Estimated Cost​</t>
  </si>
  <si>
    <t>Tech Support Resource for AI</t>
  </si>
  <si>
    <t>I​</t>
  </si>
  <si>
    <t>Proxies for Scraping(3 Ips)​</t>
  </si>
  <si>
    <t>£20​</t>
  </si>
  <si>
    <t xml:space="preserve">Infrastructure Cost </t>
  </si>
  <si>
    <t>II​</t>
  </si>
  <si>
    <t>Virtual Machine(Ubuntu) for Scraping​</t>
  </si>
  <si>
    <t>£50​</t>
  </si>
  <si>
    <t>Monthly Total</t>
  </si>
  <si>
    <t>III​</t>
  </si>
  <si>
    <t>MySQL​</t>
  </si>
  <si>
    <t>£150​</t>
  </si>
  <si>
    <t>IV​</t>
  </si>
  <si>
    <t>Document Storage​</t>
  </si>
  <si>
    <t>V​</t>
  </si>
  <si>
    <t>Back-up​</t>
  </si>
  <si>
    <t>£10​</t>
  </si>
  <si>
    <t>VI​</t>
  </si>
  <si>
    <t>Virtual Machine(Ubuntu) for AI​</t>
  </si>
  <si>
    <t>£180​</t>
  </si>
  <si>
    <t>VII​</t>
  </si>
  <si>
    <t>Overall token costs per month​</t>
  </si>
  <si>
    <t>£135​</t>
  </si>
  <si>
    <t>API Integration</t>
  </si>
  <si>
    <t>Total Monthly Cost​</t>
  </si>
  <si>
    <t>£565 ​</t>
  </si>
  <si>
    <r>
      <t>Total Solution Set Up / Configuration Costs</t>
    </r>
    <r>
      <rPr>
        <sz val="12"/>
        <color rgb="FF000000"/>
        <rFont val="Aptos Narrow"/>
        <charset val="1"/>
      </rPr>
      <t>​</t>
    </r>
  </si>
  <si>
    <r>
      <t xml:space="preserve">Total Infra Costs </t>
    </r>
    <r>
      <rPr>
        <sz val="12"/>
        <color rgb="FF000000"/>
        <rFont val="Aptos Narrow"/>
        <charset val="1"/>
      </rPr>
      <t>​</t>
    </r>
  </si>
  <si>
    <t>​</t>
  </si>
  <si>
    <r>
      <t xml:space="preserve">Total Cost of Solution Customisation / Configuration </t>
    </r>
    <r>
      <rPr>
        <sz val="12"/>
        <color rgb="FF000000"/>
        <rFont val="Aptos Narrow"/>
        <charset val="1"/>
      </rPr>
      <t>​</t>
    </r>
  </si>
  <si>
    <t>Integration Infra</t>
  </si>
  <si>
    <t>Total Infra</t>
  </si>
  <si>
    <t>Proposal1</t>
  </si>
  <si>
    <t>1. One-Time Costs (Setup &amp; Customization)</t>
  </si>
  <si>
    <t>These costs cover the initial setup, AI model customization, integration, and testing.</t>
  </si>
  <si>
    <t>Component</t>
  </si>
  <si>
    <t xml:space="preserve"> Cost (£)</t>
  </si>
  <si>
    <t>KIAA AI Platform Setup (Smart Recommender &amp; AI Chatbot Framework)</t>
  </si>
  <si>
    <t>£65,000</t>
  </si>
  <si>
    <t>Customization (Recommender &amp; Chatbot Features)</t>
  </si>
  <si>
    <t>£24,300</t>
  </si>
  <si>
    <t>Integration &amp; Testing (Azure AI Bot Service, multi-channel deployment, security &amp; compliance testing)</t>
  </si>
  <si>
    <t>£13,680</t>
  </si>
  <si>
    <t>Data Curation (One-time costs for extracting static website content, dynamic content updates)</t>
  </si>
  <si>
    <t>£4,200</t>
  </si>
  <si>
    <t>Add-ons (Optional Multi-Language Support, Custom Integrations)</t>
  </si>
  <si>
    <t>£7,200</t>
  </si>
  <si>
    <t>Total One-Time Costs</t>
  </si>
  <si>
    <t>£1,14,380</t>
  </si>
  <si>
    <t>2. Ongoing Monthly Costs</t>
  </si>
  <si>
    <t>These include hosting, cloud infrastructure, AI model consumption, and maintenance support.</t>
  </si>
  <si>
    <t>Hosting &amp; Compute (Azure VM, OpenAI GPT-4o Mini, Azure Translator API)</t>
  </si>
  <si>
    <t>£858</t>
  </si>
  <si>
    <t>Support &amp; Maintenance (ML Engineers, Technical Resources)</t>
  </si>
  <si>
    <t>£3,000</t>
  </si>
  <si>
    <t>Total Monthly Ongoing Costs</t>
  </si>
  <si>
    <t>£3,858</t>
  </si>
  <si>
    <t>3. Pay-As-You-Go Message-Based Usage Costs</t>
  </si>
  <si>
    <t>The chatbot follows a tiered message pricing model, where the cost depends on message volume and hosting type.</t>
  </si>
  <si>
    <t>Hosting Type</t>
  </si>
  <si>
    <t>First 100k Messages (£/month)</t>
  </si>
  <si>
    <t>Standard Hosting (Shared Environment)</t>
  </si>
  <si>
    <t>£566</t>
  </si>
  <si>
    <t>Independent Hosting (Dedicated Environment)</t>
  </si>
  <si>
    <t>£1,506</t>
  </si>
  <si>
    <t>4. Total Cost Estimates</t>
  </si>
  <si>
    <t>Below are the estimated costs based on setup, ongoing operations, and message-based usage.</t>
  </si>
  <si>
    <t>Cost Category</t>
  </si>
  <si>
    <t>Total Cost (£)</t>
  </si>
  <si>
    <t>Total Monthly Cost (Standard Hosting, 100k messages)</t>
  </si>
  <si>
    <t>£4,424</t>
  </si>
  <si>
    <t>Total Monthly Cost (Independent Hosting, 100k messages)</t>
  </si>
  <si>
    <t>£5,364</t>
  </si>
  <si>
    <t>Role</t>
  </si>
  <si>
    <t>Effort%</t>
  </si>
  <si>
    <t>Solution Architect</t>
  </si>
  <si>
    <t>UI labor cost</t>
  </si>
  <si>
    <t>PM</t>
  </si>
  <si>
    <t>BA</t>
  </si>
  <si>
    <t>Contingency</t>
  </si>
  <si>
    <t>Solution Architect Effort</t>
  </si>
  <si>
    <t>PM Effort</t>
  </si>
  <si>
    <t>Dev Unit Testing</t>
  </si>
  <si>
    <t>QA Testing</t>
  </si>
  <si>
    <t>Integration Testing</t>
  </si>
  <si>
    <t>BA Effort</t>
  </si>
  <si>
    <t>Scraping Labor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</si>
</sst>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;[Red]\-&quot;£&quot;#,##0"/>
    <numFmt numFmtId="165" formatCode="&quot;£&quot;#,##0.00;[Red]\-&quot;£&quot;#,##0.00"/>
    <numFmt numFmtId="166" formatCode="[$£-809]#,##0.00"/>
    <numFmt numFmtId="167" formatCode="&quot;£&quot;#,##0.0000;[Red]\-&quot;£&quot;#,##0.0000"/>
    <numFmt numFmtId="168" formatCode="_-[$£-809]* #,##0.00_-;\-[$£-809]* #,##0.00_-;_-[$£-809]* &quot;-&quot;??_-;_-@_-"/>
  </numFmts>
  <fonts count="3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A2F4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b/>
      <sz val="11"/>
      <color rgb="FF242424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24242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b/>
      <sz val="13.5"/>
      <color rgb="FF000000"/>
      <name val="Arial"/>
      <family val="2"/>
    </font>
    <font>
      <b/>
      <sz val="11"/>
      <color rgb="FF000000"/>
      <name val="Arial"/>
      <family val="2"/>
    </font>
    <font>
      <b/>
      <sz val="20"/>
      <color rgb="FF1F4E78"/>
      <name val="Aptos Narrow"/>
    </font>
    <font>
      <sz val="11"/>
      <color rgb="FF000000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C00000"/>
      <name val="Aptos Narrow"/>
    </font>
    <font>
      <sz val="11"/>
      <color rgb="FF242424"/>
      <name val="Aptos Narrow"/>
    </font>
    <font>
      <b/>
      <sz val="16"/>
      <color rgb="FFFFFFFF"/>
      <name val="Aptos Narrow"/>
    </font>
    <font>
      <sz val="12"/>
      <color rgb="FF000000"/>
      <name val="BDO Grotesk"/>
      <charset val="1"/>
    </font>
    <font>
      <b/>
      <sz val="12"/>
      <color rgb="FF164055"/>
      <name val="BDO Grotesk"/>
      <charset val="1"/>
    </font>
    <font>
      <sz val="12"/>
      <color rgb="FF164055"/>
      <name val="BDO Grotesk"/>
      <charset val="1"/>
    </font>
    <font>
      <sz val="12"/>
      <color rgb="FF000000"/>
      <name val="Aptos Narrow"/>
      <charset val="1"/>
    </font>
    <font>
      <sz val="12"/>
      <color rgb="FFFFFFFF"/>
      <name val="Aptos Narrow"/>
      <charset val="1"/>
    </font>
    <font>
      <sz val="12"/>
      <color rgb="FF164055"/>
      <name val="BDO Grotesk"/>
    </font>
    <font>
      <sz val="12"/>
      <color rgb="FF000000"/>
      <name val="BDO Grotesk"/>
    </font>
    <font>
      <sz val="13.5"/>
      <color rgb="FF000000"/>
      <name val="Times New Roman"/>
      <family val="1"/>
    </font>
    <font>
      <sz val="18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579A9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806000"/>
        <bgColor rgb="FF000000"/>
      </patternFill>
    </fill>
    <fill>
      <patternFill patternType="solid">
        <fgColor rgb="FFADADAD"/>
        <bgColor indexed="64"/>
      </patternFill>
    </fill>
    <fill>
      <patternFill patternType="solid">
        <fgColor rgb="FF6A9E76"/>
        <bgColor indexed="64"/>
      </patternFill>
    </fill>
    <fill>
      <patternFill patternType="solid">
        <fgColor rgb="FF0B304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D1D1D1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1D1D1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2" fillId="0" borderId="1" xfId="0" applyFont="1" applyBorder="1"/>
    <xf numFmtId="0" fontId="3" fillId="2" borderId="2" xfId="0" applyFont="1" applyFill="1" applyBorder="1" applyAlignment="1">
      <alignment vertical="top" wrapText="1" readingOrder="1"/>
    </xf>
    <xf numFmtId="0" fontId="0" fillId="0" borderId="0" xfId="0" applyAlignment="1">
      <alignment vertical="top"/>
    </xf>
    <xf numFmtId="0" fontId="0" fillId="0" borderId="3" xfId="0" applyBorder="1"/>
    <xf numFmtId="0" fontId="6" fillId="0" borderId="0" xfId="0" applyFont="1" applyAlignment="1">
      <alignment vertical="top" readingOrder="1"/>
    </xf>
    <xf numFmtId="0" fontId="10" fillId="0" borderId="3" xfId="0" applyFont="1" applyBorder="1" applyAlignment="1">
      <alignment vertical="top"/>
    </xf>
    <xf numFmtId="0" fontId="13" fillId="6" borderId="6" xfId="0" applyFont="1" applyFill="1" applyBorder="1" applyAlignment="1">
      <alignment vertical="top" wrapText="1"/>
    </xf>
    <xf numFmtId="166" fontId="0" fillId="0" borderId="0" xfId="0" applyNumberFormat="1"/>
    <xf numFmtId="9" fontId="0" fillId="0" borderId="0" xfId="0" applyNumberFormat="1"/>
    <xf numFmtId="0" fontId="7" fillId="4" borderId="4" xfId="0" applyFont="1" applyFill="1" applyBorder="1" applyAlignment="1">
      <alignment vertical="top" wrapText="1" readingOrder="1"/>
    </xf>
    <xf numFmtId="0" fontId="7" fillId="4" borderId="3" xfId="0" applyFont="1" applyFill="1" applyBorder="1" applyAlignment="1">
      <alignment vertical="top" wrapText="1" readingOrder="1"/>
    </xf>
    <xf numFmtId="0" fontId="4" fillId="7" borderId="5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8" fillId="7" borderId="3" xfId="0" applyFont="1" applyFill="1" applyBorder="1" applyAlignment="1">
      <alignment vertical="top" wrapText="1" readingOrder="1"/>
    </xf>
    <xf numFmtId="0" fontId="1" fillId="7" borderId="3" xfId="0" applyFont="1" applyFill="1" applyBorder="1" applyAlignment="1">
      <alignment horizontal="center" vertical="top" wrapText="1"/>
    </xf>
    <xf numFmtId="165" fontId="8" fillId="7" borderId="3" xfId="0" applyNumberFormat="1" applyFont="1" applyFill="1" applyBorder="1" applyAlignment="1">
      <alignment vertical="top" wrapText="1" readingOrder="1"/>
    </xf>
    <xf numFmtId="0" fontId="0" fillId="0" borderId="3" xfId="0" applyBorder="1" applyAlignment="1">
      <alignment vertical="top"/>
    </xf>
    <xf numFmtId="166" fontId="7" fillId="5" borderId="3" xfId="0" applyNumberFormat="1" applyFont="1" applyFill="1" applyBorder="1" applyAlignment="1">
      <alignment vertical="top"/>
    </xf>
    <xf numFmtId="165" fontId="6" fillId="0" borderId="3" xfId="0" applyNumberFormat="1" applyFont="1" applyBorder="1" applyAlignment="1">
      <alignment vertical="top" readingOrder="1"/>
    </xf>
    <xf numFmtId="0" fontId="0" fillId="0" borderId="3" xfId="0" applyBorder="1" applyAlignment="1">
      <alignment vertical="top" wrapText="1"/>
    </xf>
    <xf numFmtId="0" fontId="6" fillId="7" borderId="3" xfId="0" applyFont="1" applyFill="1" applyBorder="1" applyAlignment="1">
      <alignment vertical="top" readingOrder="1"/>
    </xf>
    <xf numFmtId="166" fontId="7" fillId="7" borderId="3" xfId="0" applyNumberFormat="1" applyFont="1" applyFill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0" borderId="3" xfId="0" applyFont="1" applyBorder="1" applyAlignment="1">
      <alignment vertical="top"/>
    </xf>
    <xf numFmtId="0" fontId="6" fillId="0" borderId="3" xfId="0" applyFont="1" applyBorder="1" applyAlignment="1">
      <alignment horizontal="right" vertical="top" readingOrder="1"/>
    </xf>
    <xf numFmtId="0" fontId="8" fillId="4" borderId="3" xfId="0" applyFont="1" applyFill="1" applyBorder="1" applyAlignment="1">
      <alignment vertical="top" wrapText="1" readingOrder="1"/>
    </xf>
    <xf numFmtId="0" fontId="5" fillId="0" borderId="3" xfId="0" applyFont="1" applyBorder="1" applyAlignment="1">
      <alignment horizontal="right" vertical="top" readingOrder="1"/>
    </xf>
    <xf numFmtId="166" fontId="8" fillId="5" borderId="3" xfId="0" applyNumberFormat="1" applyFont="1" applyFill="1" applyBorder="1" applyAlignment="1">
      <alignment vertical="top"/>
    </xf>
    <xf numFmtId="0" fontId="8" fillId="8" borderId="4" xfId="0" applyFont="1" applyFill="1" applyBorder="1" applyAlignment="1">
      <alignment vertical="top" wrapText="1" readingOrder="1"/>
    </xf>
    <xf numFmtId="0" fontId="5" fillId="8" borderId="3" xfId="0" applyFont="1" applyFill="1" applyBorder="1" applyAlignment="1">
      <alignment horizontal="right" vertical="top" readingOrder="1"/>
    </xf>
    <xf numFmtId="166" fontId="8" fillId="9" borderId="4" xfId="0" applyNumberFormat="1" applyFont="1" applyFill="1" applyBorder="1" applyAlignment="1">
      <alignment vertical="top"/>
    </xf>
    <xf numFmtId="165" fontId="5" fillId="8" borderId="4" xfId="0" applyNumberFormat="1" applyFont="1" applyFill="1" applyBorder="1" applyAlignment="1">
      <alignment vertical="top" readingOrder="1"/>
    </xf>
    <xf numFmtId="166" fontId="7" fillId="5" borderId="4" xfId="0" applyNumberFormat="1" applyFont="1" applyFill="1" applyBorder="1" applyAlignment="1">
      <alignment vertical="top"/>
    </xf>
    <xf numFmtId="165" fontId="6" fillId="3" borderId="4" xfId="0" applyNumberFormat="1" applyFont="1" applyFill="1" applyBorder="1" applyAlignment="1">
      <alignment vertical="top" readingOrder="1"/>
    </xf>
    <xf numFmtId="165" fontId="6" fillId="0" borderId="4" xfId="0" applyNumberFormat="1" applyFont="1" applyBorder="1" applyAlignment="1">
      <alignment vertical="top" readingOrder="1"/>
    </xf>
    <xf numFmtId="0" fontId="1" fillId="7" borderId="3" xfId="0" applyFont="1" applyFill="1" applyBorder="1" applyAlignment="1">
      <alignment vertical="top"/>
    </xf>
    <xf numFmtId="165" fontId="1" fillId="7" borderId="3" xfId="0" applyNumberFormat="1" applyFont="1" applyFill="1" applyBorder="1" applyAlignment="1">
      <alignment vertical="top"/>
    </xf>
    <xf numFmtId="165" fontId="0" fillId="0" borderId="0" xfId="0" applyNumberFormat="1" applyAlignment="1">
      <alignment vertical="top"/>
    </xf>
    <xf numFmtId="0" fontId="3" fillId="2" borderId="7" xfId="0" applyFont="1" applyFill="1" applyBorder="1" applyAlignment="1">
      <alignment vertical="top" wrapText="1" readingOrder="1"/>
    </xf>
    <xf numFmtId="0" fontId="12" fillId="5" borderId="0" xfId="0" applyFont="1" applyFill="1" applyAlignment="1">
      <alignment vertical="top"/>
    </xf>
    <xf numFmtId="0" fontId="10" fillId="0" borderId="3" xfId="0" applyFont="1" applyBorder="1" applyAlignment="1">
      <alignment vertical="top" wrapText="1"/>
    </xf>
    <xf numFmtId="0" fontId="12" fillId="5" borderId="0" xfId="0" applyFont="1" applyFill="1" applyAlignment="1">
      <alignment horizontal="left" vertical="top" wrapText="1"/>
    </xf>
    <xf numFmtId="0" fontId="14" fillId="0" borderId="3" xfId="0" applyFont="1" applyBorder="1" applyAlignment="1">
      <alignment vertical="top" wrapText="1"/>
    </xf>
    <xf numFmtId="0" fontId="6" fillId="4" borderId="3" xfId="0" applyFont="1" applyFill="1" applyBorder="1" applyAlignment="1">
      <alignment vertical="top" wrapText="1" readingOrder="1"/>
    </xf>
    <xf numFmtId="167" fontId="10" fillId="0" borderId="3" xfId="0" applyNumberFormat="1" applyFont="1" applyBorder="1" applyAlignment="1">
      <alignment vertical="top"/>
    </xf>
    <xf numFmtId="0" fontId="0" fillId="0" borderId="3" xfId="0" applyBorder="1" applyAlignment="1">
      <alignment horizontal="right" vertical="top"/>
    </xf>
    <xf numFmtId="167" fontId="14" fillId="0" borderId="3" xfId="0" applyNumberFormat="1" applyFont="1" applyBorder="1" applyAlignment="1">
      <alignment vertical="top"/>
    </xf>
    <xf numFmtId="0" fontId="11" fillId="0" borderId="3" xfId="0" applyFont="1" applyBorder="1" applyAlignment="1">
      <alignment horizontal="left" vertical="top" wrapText="1"/>
    </xf>
    <xf numFmtId="164" fontId="14" fillId="0" borderId="3" xfId="0" applyNumberFormat="1" applyFont="1" applyBorder="1" applyAlignment="1">
      <alignment horizontal="right" vertical="top"/>
    </xf>
    <xf numFmtId="164" fontId="14" fillId="3" borderId="3" xfId="0" applyNumberFormat="1" applyFont="1" applyFill="1" applyBorder="1" applyAlignment="1">
      <alignment horizontal="right" vertical="top"/>
    </xf>
    <xf numFmtId="166" fontId="7" fillId="0" borderId="3" xfId="0" applyNumberFormat="1" applyFont="1" applyBorder="1" applyAlignment="1">
      <alignment horizontal="right" vertical="top"/>
    </xf>
    <xf numFmtId="166" fontId="7" fillId="0" borderId="3" xfId="0" applyNumberFormat="1" applyFont="1" applyBorder="1" applyAlignment="1">
      <alignment vertical="top"/>
    </xf>
    <xf numFmtId="0" fontId="0" fillId="0" borderId="0" xfId="0" applyAlignment="1">
      <alignment wrapText="1"/>
    </xf>
    <xf numFmtId="0" fontId="7" fillId="0" borderId="3" xfId="0" applyFont="1" applyBorder="1" applyAlignment="1">
      <alignment vertical="top" wrapText="1" readingOrder="1"/>
    </xf>
    <xf numFmtId="166" fontId="0" fillId="0" borderId="3" xfId="0" applyNumberFormat="1" applyBorder="1"/>
    <xf numFmtId="0" fontId="1" fillId="8" borderId="3" xfId="0" applyFont="1" applyFill="1" applyBorder="1"/>
    <xf numFmtId="166" fontId="1" fillId="8" borderId="3" xfId="0" applyNumberFormat="1" applyFont="1" applyFill="1" applyBorder="1"/>
    <xf numFmtId="0" fontId="1" fillId="8" borderId="3" xfId="0" applyFont="1" applyFill="1" applyBorder="1" applyAlignment="1">
      <alignment horizontal="right"/>
    </xf>
    <xf numFmtId="0" fontId="15" fillId="0" borderId="8" xfId="0" applyFont="1" applyBorder="1" applyAlignment="1">
      <alignment horizontal="left" vertical="top"/>
    </xf>
    <xf numFmtId="0" fontId="15" fillId="0" borderId="9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15" fillId="0" borderId="10" xfId="0" applyFont="1" applyBorder="1" applyAlignment="1">
      <alignment horizontal="left" vertical="top"/>
    </xf>
    <xf numFmtId="0" fontId="17" fillId="0" borderId="10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righ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right" vertical="top" wrapText="1"/>
    </xf>
    <xf numFmtId="0" fontId="6" fillId="0" borderId="0" xfId="0" applyFont="1"/>
    <xf numFmtId="0" fontId="19" fillId="0" borderId="15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19" fillId="0" borderId="16" xfId="0" applyFont="1" applyBorder="1"/>
    <xf numFmtId="0" fontId="21" fillId="11" borderId="20" xfId="0" applyFont="1" applyFill="1" applyBorder="1" applyAlignment="1">
      <alignment wrapText="1"/>
    </xf>
    <xf numFmtId="0" fontId="21" fillId="11" borderId="21" xfId="0" applyFont="1" applyFill="1" applyBorder="1" applyAlignment="1">
      <alignment wrapText="1"/>
    </xf>
    <xf numFmtId="0" fontId="21" fillId="11" borderId="21" xfId="0" applyFont="1" applyFill="1" applyBorder="1"/>
    <xf numFmtId="0" fontId="21" fillId="11" borderId="22" xfId="0" applyFont="1" applyFill="1" applyBorder="1"/>
    <xf numFmtId="0" fontId="19" fillId="0" borderId="23" xfId="0" applyFont="1" applyBorder="1"/>
    <xf numFmtId="0" fontId="19" fillId="0" borderId="24" xfId="0" applyFont="1" applyBorder="1"/>
    <xf numFmtId="0" fontId="21" fillId="11" borderId="25" xfId="0" applyFont="1" applyFill="1" applyBorder="1" applyAlignment="1">
      <alignment wrapText="1"/>
    </xf>
    <xf numFmtId="0" fontId="21" fillId="11" borderId="26" xfId="0" applyFont="1" applyFill="1" applyBorder="1" applyAlignment="1">
      <alignment wrapText="1"/>
    </xf>
    <xf numFmtId="0" fontId="19" fillId="0" borderId="20" xfId="0" applyFont="1" applyBorder="1"/>
    <xf numFmtId="0" fontId="19" fillId="0" borderId="21" xfId="0" applyFont="1" applyBorder="1"/>
    <xf numFmtId="0" fontId="19" fillId="0" borderId="28" xfId="0" applyFont="1" applyBorder="1"/>
    <xf numFmtId="0" fontId="22" fillId="0" borderId="3" xfId="0" applyFont="1" applyBorder="1"/>
    <xf numFmtId="0" fontId="22" fillId="0" borderId="29" xfId="0" applyFont="1" applyBorder="1"/>
    <xf numFmtId="0" fontId="22" fillId="0" borderId="4" xfId="0" applyFont="1" applyBorder="1"/>
    <xf numFmtId="0" fontId="19" fillId="0" borderId="31" xfId="0" applyFont="1" applyBorder="1" applyAlignment="1">
      <alignment wrapText="1"/>
    </xf>
    <xf numFmtId="0" fontId="21" fillId="11" borderId="34" xfId="0" applyFont="1" applyFill="1" applyBorder="1" applyAlignment="1">
      <alignment wrapText="1"/>
    </xf>
    <xf numFmtId="0" fontId="21" fillId="11" borderId="35" xfId="0" applyFont="1" applyFill="1" applyBorder="1" applyAlignment="1">
      <alignment wrapText="1"/>
    </xf>
    <xf numFmtId="0" fontId="19" fillId="0" borderId="37" xfId="0" applyFont="1" applyBorder="1"/>
    <xf numFmtId="0" fontId="21" fillId="11" borderId="38" xfId="0" applyFont="1" applyFill="1" applyBorder="1" applyAlignment="1">
      <alignment wrapText="1"/>
    </xf>
    <xf numFmtId="0" fontId="21" fillId="11" borderId="39" xfId="0" applyFont="1" applyFill="1" applyBorder="1" applyAlignment="1">
      <alignment wrapText="1"/>
    </xf>
    <xf numFmtId="0" fontId="19" fillId="0" borderId="41" xfId="0" applyFont="1" applyBorder="1" applyAlignment="1">
      <alignment wrapText="1"/>
    </xf>
    <xf numFmtId="0" fontId="19" fillId="0" borderId="29" xfId="0" applyFont="1" applyBorder="1"/>
    <xf numFmtId="0" fontId="19" fillId="0" borderId="43" xfId="0" applyFont="1" applyBorder="1" applyAlignment="1">
      <alignment wrapText="1"/>
    </xf>
    <xf numFmtId="0" fontId="19" fillId="0" borderId="44" xfId="0" applyFont="1" applyBorder="1"/>
    <xf numFmtId="0" fontId="21" fillId="11" borderId="45" xfId="0" applyFont="1" applyFill="1" applyBorder="1" applyAlignment="1">
      <alignment wrapText="1"/>
    </xf>
    <xf numFmtId="0" fontId="21" fillId="11" borderId="28" xfId="0" applyFont="1" applyFill="1" applyBorder="1" applyAlignment="1">
      <alignment wrapText="1"/>
    </xf>
    <xf numFmtId="0" fontId="21" fillId="11" borderId="28" xfId="0" applyFont="1" applyFill="1" applyBorder="1"/>
    <xf numFmtId="0" fontId="19" fillId="0" borderId="43" xfId="0" applyFont="1" applyBorder="1"/>
    <xf numFmtId="0" fontId="19" fillId="0" borderId="47" xfId="0" applyFont="1" applyBorder="1" applyAlignment="1">
      <alignment wrapText="1"/>
    </xf>
    <xf numFmtId="0" fontId="21" fillId="11" borderId="37" xfId="0" applyFont="1" applyFill="1" applyBorder="1" applyAlignment="1">
      <alignment wrapText="1"/>
    </xf>
    <xf numFmtId="0" fontId="21" fillId="11" borderId="30" xfId="0" applyFont="1" applyFill="1" applyBorder="1" applyAlignment="1">
      <alignment wrapText="1"/>
    </xf>
    <xf numFmtId="0" fontId="19" fillId="0" borderId="48" xfId="0" applyFont="1" applyBorder="1" applyAlignment="1">
      <alignment wrapText="1"/>
    </xf>
    <xf numFmtId="0" fontId="19" fillId="12" borderId="49" xfId="0" applyFont="1" applyFill="1" applyBorder="1" applyAlignment="1">
      <alignment wrapText="1"/>
    </xf>
    <xf numFmtId="0" fontId="20" fillId="12" borderId="50" xfId="0" applyFont="1" applyFill="1" applyBorder="1" applyAlignment="1">
      <alignment wrapText="1"/>
    </xf>
    <xf numFmtId="0" fontId="19" fillId="12" borderId="20" xfId="0" applyFont="1" applyFill="1" applyBorder="1" applyAlignment="1">
      <alignment wrapText="1"/>
    </xf>
    <xf numFmtId="0" fontId="20" fillId="12" borderId="21" xfId="0" applyFont="1" applyFill="1" applyBorder="1" applyAlignment="1">
      <alignment wrapText="1"/>
    </xf>
    <xf numFmtId="0" fontId="19" fillId="13" borderId="43" xfId="0" applyFont="1" applyFill="1" applyBorder="1" applyAlignment="1">
      <alignment wrapText="1"/>
    </xf>
    <xf numFmtId="0" fontId="21" fillId="13" borderId="44" xfId="0" applyFont="1" applyFill="1" applyBorder="1" applyAlignment="1">
      <alignment wrapText="1"/>
    </xf>
    <xf numFmtId="0" fontId="19" fillId="0" borderId="15" xfId="0" applyFont="1" applyBorder="1"/>
    <xf numFmtId="0" fontId="21" fillId="11" borderId="24" xfId="0" applyFont="1" applyFill="1" applyBorder="1" applyAlignment="1">
      <alignment wrapText="1"/>
    </xf>
    <xf numFmtId="0" fontId="21" fillId="11" borderId="24" xfId="0" applyFont="1" applyFill="1" applyBorder="1"/>
    <xf numFmtId="0" fontId="24" fillId="5" borderId="54" xfId="0" applyFont="1" applyFill="1" applyBorder="1" applyAlignment="1">
      <alignment wrapText="1"/>
    </xf>
    <xf numFmtId="0" fontId="19" fillId="0" borderId="54" xfId="0" applyFont="1" applyBorder="1"/>
    <xf numFmtId="0" fontId="24" fillId="5" borderId="28" xfId="0" applyFont="1" applyFill="1" applyBorder="1" applyAlignment="1">
      <alignment wrapText="1"/>
    </xf>
    <xf numFmtId="0" fontId="19" fillId="0" borderId="28" xfId="0" applyFont="1" applyBorder="1" applyAlignment="1">
      <alignment wrapText="1"/>
    </xf>
    <xf numFmtId="0" fontId="21" fillId="13" borderId="55" xfId="0" applyFont="1" applyFill="1" applyBorder="1" applyAlignment="1">
      <alignment wrapText="1"/>
    </xf>
    <xf numFmtId="0" fontId="21" fillId="13" borderId="55" xfId="0" applyFont="1" applyFill="1" applyBorder="1"/>
    <xf numFmtId="166" fontId="22" fillId="0" borderId="21" xfId="0" applyNumberFormat="1" applyFont="1" applyBorder="1"/>
    <xf numFmtId="166" fontId="21" fillId="11" borderId="26" xfId="0" applyNumberFormat="1" applyFont="1" applyFill="1" applyBorder="1" applyAlignment="1">
      <alignment horizontal="center"/>
    </xf>
    <xf numFmtId="0" fontId="21" fillId="11" borderId="26" xfId="0" applyFont="1" applyFill="1" applyBorder="1" applyAlignment="1">
      <alignment horizontal="center"/>
    </xf>
    <xf numFmtId="166" fontId="21" fillId="11" borderId="27" xfId="0" applyNumberFormat="1" applyFont="1" applyFill="1" applyBorder="1" applyAlignment="1">
      <alignment horizontal="center"/>
    </xf>
    <xf numFmtId="166" fontId="19" fillId="0" borderId="28" xfId="0" applyNumberFormat="1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166" fontId="19" fillId="0" borderId="22" xfId="0" applyNumberFormat="1" applyFont="1" applyBorder="1" applyAlignment="1">
      <alignment horizontal="center"/>
    </xf>
    <xf numFmtId="166" fontId="19" fillId="0" borderId="30" xfId="0" applyNumberFormat="1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166" fontId="19" fillId="0" borderId="16" xfId="0" applyNumberFormat="1" applyFont="1" applyBorder="1" applyAlignment="1">
      <alignment horizontal="center"/>
    </xf>
    <xf numFmtId="166" fontId="19" fillId="0" borderId="32" xfId="0" applyNumberFormat="1" applyFont="1" applyBorder="1" applyAlignment="1">
      <alignment horizontal="center"/>
    </xf>
    <xf numFmtId="0" fontId="19" fillId="0" borderId="31" xfId="0" applyFont="1" applyBorder="1" applyAlignment="1">
      <alignment horizontal="center" wrapText="1"/>
    </xf>
    <xf numFmtId="166" fontId="19" fillId="0" borderId="33" xfId="0" applyNumberFormat="1" applyFont="1" applyBorder="1" applyAlignment="1">
      <alignment horizontal="center"/>
    </xf>
    <xf numFmtId="166" fontId="21" fillId="11" borderId="35" xfId="0" applyNumberFormat="1" applyFont="1" applyFill="1" applyBorder="1" applyAlignment="1">
      <alignment horizontal="center"/>
    </xf>
    <xf numFmtId="0" fontId="21" fillId="11" borderId="35" xfId="0" applyFont="1" applyFill="1" applyBorder="1" applyAlignment="1">
      <alignment horizontal="center"/>
    </xf>
    <xf numFmtId="166" fontId="21" fillId="11" borderId="36" xfId="0" applyNumberFormat="1" applyFont="1" applyFill="1" applyBorder="1" applyAlignment="1">
      <alignment horizontal="center"/>
    </xf>
    <xf numFmtId="166" fontId="19" fillId="0" borderId="24" xfId="0" applyNumberFormat="1" applyFont="1" applyBorder="1" applyAlignment="1">
      <alignment horizontal="center"/>
    </xf>
    <xf numFmtId="166" fontId="21" fillId="11" borderId="39" xfId="0" applyNumberFormat="1" applyFont="1" applyFill="1" applyBorder="1" applyAlignment="1">
      <alignment horizontal="center"/>
    </xf>
    <xf numFmtId="0" fontId="21" fillId="11" borderId="39" xfId="0" applyFont="1" applyFill="1" applyBorder="1" applyAlignment="1">
      <alignment horizontal="center"/>
    </xf>
    <xf numFmtId="166" fontId="21" fillId="11" borderId="40" xfId="0" applyNumberFormat="1" applyFont="1" applyFill="1" applyBorder="1" applyAlignment="1">
      <alignment horizontal="center"/>
    </xf>
    <xf numFmtId="166" fontId="19" fillId="0" borderId="29" xfId="0" applyNumberFormat="1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166" fontId="19" fillId="0" borderId="42" xfId="0" applyNumberFormat="1" applyFont="1" applyBorder="1" applyAlignment="1">
      <alignment horizontal="center"/>
    </xf>
    <xf numFmtId="166" fontId="19" fillId="0" borderId="44" xfId="0" applyNumberFormat="1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166" fontId="19" fillId="0" borderId="11" xfId="0" applyNumberFormat="1" applyFont="1" applyBorder="1" applyAlignment="1">
      <alignment horizontal="center"/>
    </xf>
    <xf numFmtId="166" fontId="21" fillId="11" borderId="28" xfId="0" applyNumberFormat="1" applyFont="1" applyFill="1" applyBorder="1" applyAlignment="1">
      <alignment horizontal="center"/>
    </xf>
    <xf numFmtId="0" fontId="21" fillId="11" borderId="28" xfId="0" applyFont="1" applyFill="1" applyBorder="1" applyAlignment="1">
      <alignment horizontal="center"/>
    </xf>
    <xf numFmtId="166" fontId="21" fillId="11" borderId="46" xfId="0" applyNumberFormat="1" applyFont="1" applyFill="1" applyBorder="1" applyAlignment="1">
      <alignment horizontal="center"/>
    </xf>
    <xf numFmtId="166" fontId="21" fillId="11" borderId="30" xfId="0" applyNumberFormat="1" applyFont="1" applyFill="1" applyBorder="1" applyAlignment="1">
      <alignment horizontal="center"/>
    </xf>
    <xf numFmtId="0" fontId="21" fillId="11" borderId="30" xfId="0" applyFont="1" applyFill="1" applyBorder="1" applyAlignment="1">
      <alignment horizontal="center"/>
    </xf>
    <xf numFmtId="166" fontId="21" fillId="11" borderId="28" xfId="0" applyNumberFormat="1" applyFont="1" applyFill="1" applyBorder="1" applyAlignment="1">
      <alignment horizontal="center" wrapText="1"/>
    </xf>
    <xf numFmtId="166" fontId="19" fillId="0" borderId="30" xfId="0" applyNumberFormat="1" applyFont="1" applyBorder="1" applyAlignment="1">
      <alignment horizontal="center" wrapText="1"/>
    </xf>
    <xf numFmtId="0" fontId="19" fillId="0" borderId="30" xfId="0" applyFont="1" applyBorder="1" applyAlignment="1">
      <alignment horizontal="center"/>
    </xf>
    <xf numFmtId="166" fontId="20" fillId="12" borderId="29" xfId="0" applyNumberFormat="1" applyFont="1" applyFill="1" applyBorder="1" applyAlignment="1">
      <alignment horizontal="center"/>
    </xf>
    <xf numFmtId="0" fontId="20" fillId="12" borderId="50" xfId="0" applyFont="1" applyFill="1" applyBorder="1" applyAlignment="1">
      <alignment horizontal="center"/>
    </xf>
    <xf numFmtId="166" fontId="20" fillId="12" borderId="27" xfId="0" applyNumberFormat="1" applyFont="1" applyFill="1" applyBorder="1" applyAlignment="1">
      <alignment horizontal="center"/>
    </xf>
    <xf numFmtId="166" fontId="20" fillId="12" borderId="21" xfId="0" applyNumberFormat="1" applyFont="1" applyFill="1" applyBorder="1" applyAlignment="1">
      <alignment horizontal="center"/>
    </xf>
    <xf numFmtId="0" fontId="20" fillId="12" borderId="21" xfId="0" applyFont="1" applyFill="1" applyBorder="1" applyAlignment="1">
      <alignment horizontal="center"/>
    </xf>
    <xf numFmtId="166" fontId="20" fillId="12" borderId="46" xfId="0" applyNumberFormat="1" applyFont="1" applyFill="1" applyBorder="1" applyAlignment="1">
      <alignment horizontal="center"/>
    </xf>
    <xf numFmtId="0" fontId="21" fillId="13" borderId="44" xfId="0" applyFont="1" applyFill="1" applyBorder="1" applyAlignment="1">
      <alignment horizontal="center" wrapText="1"/>
    </xf>
    <xf numFmtId="0" fontId="21" fillId="13" borderId="44" xfId="0" applyFont="1" applyFill="1" applyBorder="1" applyAlignment="1">
      <alignment horizontal="center"/>
    </xf>
    <xf numFmtId="166" fontId="21" fillId="13" borderId="11" xfId="0" applyNumberFormat="1" applyFont="1" applyFill="1" applyBorder="1" applyAlignment="1">
      <alignment horizontal="center"/>
    </xf>
    <xf numFmtId="0" fontId="21" fillId="11" borderId="59" xfId="0" applyFont="1" applyFill="1" applyBorder="1" applyAlignment="1">
      <alignment wrapText="1"/>
    </xf>
    <xf numFmtId="0" fontId="21" fillId="11" borderId="60" xfId="0" applyFont="1" applyFill="1" applyBorder="1"/>
    <xf numFmtId="0" fontId="19" fillId="0" borderId="61" xfId="0" applyFont="1" applyBorder="1" applyAlignment="1">
      <alignment wrapText="1"/>
    </xf>
    <xf numFmtId="0" fontId="19" fillId="0" borderId="62" xfId="0" applyFont="1" applyBorder="1"/>
    <xf numFmtId="0" fontId="21" fillId="11" borderId="63" xfId="0" applyFont="1" applyFill="1" applyBorder="1" applyAlignment="1">
      <alignment wrapText="1"/>
    </xf>
    <xf numFmtId="0" fontId="19" fillId="0" borderId="63" xfId="0" applyFont="1" applyBorder="1" applyAlignment="1">
      <alignment wrapText="1"/>
    </xf>
    <xf numFmtId="0" fontId="19" fillId="13" borderId="64" xfId="0" applyFont="1" applyFill="1" applyBorder="1" applyAlignment="1">
      <alignment wrapText="1"/>
    </xf>
    <xf numFmtId="0" fontId="19" fillId="0" borderId="44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9" fillId="0" borderId="44" xfId="0" applyFont="1" applyBorder="1" applyAlignment="1">
      <alignment vertical="top" wrapText="1"/>
    </xf>
    <xf numFmtId="0" fontId="27" fillId="16" borderId="65" xfId="0" applyFont="1" applyFill="1" applyBorder="1"/>
    <xf numFmtId="0" fontId="28" fillId="0" borderId="65" xfId="0" applyFont="1" applyBorder="1"/>
    <xf numFmtId="0" fontId="30" fillId="17" borderId="65" xfId="0" applyFont="1" applyFill="1" applyBorder="1"/>
    <xf numFmtId="0" fontId="29" fillId="0" borderId="65" xfId="0" applyFont="1" applyBorder="1"/>
    <xf numFmtId="0" fontId="30" fillId="18" borderId="65" xfId="0" applyFont="1" applyFill="1" applyBorder="1"/>
    <xf numFmtId="168" fontId="28" fillId="4" borderId="65" xfId="0" applyNumberFormat="1" applyFont="1" applyFill="1" applyBorder="1"/>
    <xf numFmtId="168" fontId="30" fillId="17" borderId="65" xfId="0" applyNumberFormat="1" applyFont="1" applyFill="1" applyBorder="1"/>
    <xf numFmtId="166" fontId="6" fillId="0" borderId="0" xfId="0" applyNumberFormat="1" applyFont="1"/>
    <xf numFmtId="168" fontId="30" fillId="18" borderId="65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2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0" fillId="3" borderId="0" xfId="0" applyFill="1" applyAlignment="1">
      <alignment horizontal="right" vertical="center" wrapText="1"/>
    </xf>
    <xf numFmtId="0" fontId="33" fillId="0" borderId="0" xfId="0" applyFont="1"/>
    <xf numFmtId="0" fontId="34" fillId="0" borderId="65" xfId="0" applyFont="1" applyBorder="1"/>
    <xf numFmtId="168" fontId="0" fillId="0" borderId="0" xfId="0" applyNumberFormat="1"/>
    <xf numFmtId="168" fontId="34" fillId="0" borderId="65" xfId="0" applyNumberFormat="1" applyFont="1" applyBorder="1"/>
    <xf numFmtId="0" fontId="0" fillId="0" borderId="65" xfId="0" applyBorder="1"/>
    <xf numFmtId="0" fontId="0" fillId="3" borderId="0" xfId="0" applyFill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19" fillId="0" borderId="28" xfId="0" applyFont="1" applyBorder="1" applyAlignment="1">
      <alignment horizontal="left" vertical="top" wrapText="1"/>
    </xf>
    <xf numFmtId="166" fontId="22" fillId="0" borderId="68" xfId="0" applyNumberFormat="1" applyFont="1" applyBorder="1" applyAlignment="1">
      <alignment horizontal="center"/>
    </xf>
    <xf numFmtId="0" fontId="21" fillId="11" borderId="69" xfId="0" applyFont="1" applyFill="1" applyBorder="1"/>
    <xf numFmtId="166" fontId="22" fillId="0" borderId="5" xfId="0" applyNumberFormat="1" applyFont="1" applyBorder="1" applyAlignment="1">
      <alignment horizontal="center"/>
    </xf>
    <xf numFmtId="166" fontId="21" fillId="13" borderId="70" xfId="0" applyNumberFormat="1" applyFont="1" applyFill="1" applyBorder="1" applyAlignment="1">
      <alignment horizontal="center"/>
    </xf>
    <xf numFmtId="0" fontId="21" fillId="11" borderId="69" xfId="0" applyFont="1" applyFill="1" applyBorder="1" applyAlignment="1">
      <alignment horizontal="center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0" fillId="10" borderId="17" xfId="0" applyFont="1" applyFill="1" applyBorder="1" applyAlignment="1">
      <alignment wrapText="1"/>
    </xf>
    <xf numFmtId="0" fontId="20" fillId="10" borderId="18" xfId="0" applyFont="1" applyFill="1" applyBorder="1" applyAlignment="1">
      <alignment wrapText="1"/>
    </xf>
    <xf numFmtId="0" fontId="20" fillId="10" borderId="19" xfId="0" applyFont="1" applyFill="1" applyBorder="1" applyAlignment="1">
      <alignment wrapText="1"/>
    </xf>
    <xf numFmtId="0" fontId="23" fillId="14" borderId="12" xfId="0" applyFont="1" applyFill="1" applyBorder="1" applyAlignment="1">
      <alignment wrapText="1"/>
    </xf>
    <xf numFmtId="0" fontId="23" fillId="14" borderId="13" xfId="0" applyFont="1" applyFill="1" applyBorder="1" applyAlignment="1">
      <alignment wrapText="1"/>
    </xf>
    <xf numFmtId="0" fontId="23" fillId="14" borderId="14" xfId="0" applyFont="1" applyFill="1" applyBorder="1" applyAlignment="1">
      <alignment wrapText="1"/>
    </xf>
    <xf numFmtId="0" fontId="20" fillId="10" borderId="56" xfId="0" applyFont="1" applyFill="1" applyBorder="1" applyAlignment="1">
      <alignment wrapText="1"/>
    </xf>
    <xf numFmtId="0" fontId="20" fillId="10" borderId="57" xfId="0" applyFont="1" applyFill="1" applyBorder="1" applyAlignment="1">
      <alignment wrapText="1"/>
    </xf>
    <xf numFmtId="0" fontId="20" fillId="10" borderId="58" xfId="0" applyFont="1" applyFill="1" applyBorder="1" applyAlignment="1">
      <alignment wrapText="1"/>
    </xf>
    <xf numFmtId="0" fontId="25" fillId="15" borderId="51" xfId="0" applyFont="1" applyFill="1" applyBorder="1" applyAlignment="1">
      <alignment wrapText="1"/>
    </xf>
    <xf numFmtId="0" fontId="25" fillId="15" borderId="52" xfId="0" applyFont="1" applyFill="1" applyBorder="1" applyAlignment="1">
      <alignment wrapText="1"/>
    </xf>
    <xf numFmtId="0" fontId="25" fillId="15" borderId="53" xfId="0" applyFont="1" applyFill="1" applyBorder="1" applyAlignment="1">
      <alignment wrapText="1"/>
    </xf>
    <xf numFmtId="0" fontId="19" fillId="0" borderId="18" xfId="0" applyFont="1" applyBorder="1" applyAlignment="1">
      <alignment vertical="top"/>
    </xf>
    <xf numFmtId="0" fontId="19" fillId="0" borderId="19" xfId="0" applyFont="1" applyBorder="1" applyAlignment="1">
      <alignment vertical="top"/>
    </xf>
    <xf numFmtId="0" fontId="0" fillId="0" borderId="65" xfId="0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0" fillId="0" borderId="0" xfId="0" applyAlignment="1">
      <alignment horizontal="center"/>
    </xf>
    <xf numFmtId="0" fontId="34" fillId="0" borderId="67" xfId="0" applyFont="1" applyBorder="1" applyAlignment="1"/>
    <xf numFmtId="0" fontId="34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itgroupo365-my.sharepoint.com/personal/sowmya_vivek_meritgroup_co_uk/Documents/onedrive_backup/Real_Deals_Media/tagging_PoC/cost_estimation_realdealsmedia_v01.xlsx" TargetMode="External"/><Relationship Id="rId1" Type="http://schemas.openxmlformats.org/officeDocument/2006/relationships/externalLinkPath" Target="/personal/sowmya_vivek_meritgroup_co_uk/Documents/onedrive_backup/Real_Deals_Media/tagging_PoC/cost_estimation_realdealsmedia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_items_estimate"/>
      <sheetName val="Consolidated Cost for Proposal"/>
      <sheetName val="AIML_cost"/>
      <sheetName val="Resource Loading Sheet"/>
      <sheetName val="AIML_workflow"/>
      <sheetName val="DataHarvesting_cost"/>
      <sheetName val="Sources Details"/>
      <sheetName val="Call - Queries and Answers"/>
      <sheetName val="Infrastructure_Details"/>
      <sheetName val="consolidated_sheet"/>
      <sheetName val="lookup"/>
      <sheetName val="unit_cost"/>
      <sheetName val="Resource Loa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25</v>
          </cell>
          <cell r="C2">
            <v>30</v>
          </cell>
          <cell r="D2">
            <v>25</v>
          </cell>
        </row>
        <row r="5">
          <cell r="H5" t="str">
            <v>Contingency</v>
          </cell>
          <cell r="I5">
            <v>0.1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8AB1-C4AF-44C7-A7E7-8E0D285867E5}">
  <dimension ref="A1:K64"/>
  <sheetViews>
    <sheetView tabSelected="1" topLeftCell="A32" zoomScale="130" zoomScaleNormal="130" workbookViewId="0">
      <selection activeCell="K50" sqref="K50"/>
    </sheetView>
  </sheetViews>
  <sheetFormatPr defaultColWidth="9" defaultRowHeight="15"/>
  <cols>
    <col min="1" max="1" width="79.42578125" style="3" bestFit="1" customWidth="1"/>
    <col min="2" max="3" width="10.7109375" style="3" customWidth="1"/>
    <col min="4" max="4" width="11.7109375" style="3" bestFit="1" customWidth="1"/>
    <col min="5" max="5" width="10.28515625" style="3" bestFit="1" customWidth="1"/>
    <col min="6" max="6" width="9" style="3"/>
    <col min="7" max="7" width="14.5703125" style="3" customWidth="1"/>
    <col min="8" max="16384" width="9" style="3"/>
  </cols>
  <sheetData>
    <row r="1" spans="1:4">
      <c r="A1" s="2" t="s">
        <v>0</v>
      </c>
      <c r="B1" s="2"/>
      <c r="C1" s="2"/>
      <c r="D1" s="2"/>
    </row>
    <row r="2" spans="1:4" ht="26.25">
      <c r="A2" s="1" t="s">
        <v>1</v>
      </c>
      <c r="B2" s="12"/>
      <c r="C2" s="12"/>
      <c r="D2" s="12"/>
    </row>
    <row r="3" spans="1:4" ht="18.75">
      <c r="A3" s="12" t="s">
        <v>2</v>
      </c>
      <c r="B3" s="14"/>
      <c r="C3" s="14"/>
      <c r="D3" s="14"/>
    </row>
    <row r="4" spans="1:4">
      <c r="A4" s="13" t="s">
        <v>3</v>
      </c>
      <c r="B4" s="14"/>
      <c r="C4" s="14"/>
      <c r="D4" s="14" t="s">
        <v>4</v>
      </c>
    </row>
    <row r="5" spans="1:4" ht="30">
      <c r="A5" s="15" t="s">
        <v>5</v>
      </c>
      <c r="B5" s="18"/>
      <c r="C5" s="18"/>
      <c r="D5" s="17">
        <v>10000</v>
      </c>
    </row>
    <row r="6" spans="1:4" ht="30">
      <c r="A6" s="13" t="s">
        <v>3</v>
      </c>
      <c r="B6" s="14" t="s">
        <v>6</v>
      </c>
      <c r="C6" s="14" t="s">
        <v>7</v>
      </c>
      <c r="D6" s="14" t="s">
        <v>4</v>
      </c>
    </row>
    <row r="7" spans="1:4">
      <c r="A7" s="15" t="s">
        <v>8</v>
      </c>
      <c r="B7" s="15">
        <f>SUM(B8:B16)</f>
        <v>128</v>
      </c>
      <c r="C7" s="16"/>
      <c r="D7" s="17">
        <f>SUM(D8:D16)</f>
        <v>3200</v>
      </c>
    </row>
    <row r="8" spans="1:4" ht="30">
      <c r="A8" s="21" t="s">
        <v>9</v>
      </c>
      <c r="B8" s="18">
        <v>16</v>
      </c>
      <c r="C8" s="19">
        <f>lookup!$B$2</f>
        <v>25</v>
      </c>
      <c r="D8" s="20">
        <f>B8*$C8</f>
        <v>400</v>
      </c>
    </row>
    <row r="9" spans="1:4" ht="30">
      <c r="A9" s="21" t="s">
        <v>10</v>
      </c>
      <c r="B9" s="18">
        <v>16</v>
      </c>
      <c r="C9" s="19">
        <f>lookup!$B$2</f>
        <v>25</v>
      </c>
      <c r="D9" s="20">
        <f t="shared" ref="D9:D16" si="0">B9*$C9</f>
        <v>400</v>
      </c>
    </row>
    <row r="10" spans="1:4" ht="30">
      <c r="A10" s="21" t="s">
        <v>11</v>
      </c>
      <c r="B10" s="18">
        <v>8</v>
      </c>
      <c r="C10" s="19">
        <f>lookup!$B$2</f>
        <v>25</v>
      </c>
      <c r="D10" s="20">
        <f t="shared" si="0"/>
        <v>200</v>
      </c>
    </row>
    <row r="11" spans="1:4" ht="30">
      <c r="A11" s="21" t="s">
        <v>12</v>
      </c>
      <c r="B11" s="18">
        <v>24</v>
      </c>
      <c r="C11" s="19">
        <f>lookup!$B$2</f>
        <v>25</v>
      </c>
      <c r="D11" s="20">
        <f t="shared" si="0"/>
        <v>600</v>
      </c>
    </row>
    <row r="12" spans="1:4" ht="30">
      <c r="A12" s="21" t="s">
        <v>13</v>
      </c>
      <c r="B12" s="18">
        <v>16</v>
      </c>
      <c r="C12" s="19">
        <f>lookup!$B$2</f>
        <v>25</v>
      </c>
      <c r="D12" s="20">
        <f t="shared" si="0"/>
        <v>400</v>
      </c>
    </row>
    <row r="13" spans="1:4" ht="30">
      <c r="A13" s="21" t="s">
        <v>14</v>
      </c>
      <c r="B13" s="18">
        <v>8</v>
      </c>
      <c r="C13" s="19">
        <f>lookup!$B$2</f>
        <v>25</v>
      </c>
      <c r="D13" s="20">
        <f t="shared" si="0"/>
        <v>200</v>
      </c>
    </row>
    <row r="14" spans="1:4" ht="30">
      <c r="A14" s="21" t="s">
        <v>15</v>
      </c>
      <c r="B14" s="18">
        <v>8</v>
      </c>
      <c r="C14" s="19">
        <f>lookup!$B$2</f>
        <v>25</v>
      </c>
      <c r="D14" s="20">
        <f t="shared" si="0"/>
        <v>200</v>
      </c>
    </row>
    <row r="15" spans="1:4" ht="31.5" customHeight="1">
      <c r="A15" s="21" t="s">
        <v>16</v>
      </c>
      <c r="B15" s="18">
        <v>24</v>
      </c>
      <c r="C15" s="19">
        <f>lookup!$B$2</f>
        <v>25</v>
      </c>
      <c r="D15" s="20">
        <f t="shared" si="0"/>
        <v>600</v>
      </c>
    </row>
    <row r="16" spans="1:4">
      <c r="A16" s="4" t="s">
        <v>17</v>
      </c>
      <c r="B16" s="18">
        <v>8</v>
      </c>
      <c r="C16" s="19">
        <f>lookup!$B$2</f>
        <v>25</v>
      </c>
      <c r="D16" s="20">
        <f t="shared" si="0"/>
        <v>200</v>
      </c>
    </row>
    <row r="17" spans="1:4">
      <c r="A17" s="15" t="s">
        <v>18</v>
      </c>
      <c r="B17" s="15">
        <f>SUM(B18:B27)</f>
        <v>152</v>
      </c>
      <c r="C17" s="23"/>
      <c r="D17" s="17">
        <f>SUM(D18:D27)</f>
        <v>4560</v>
      </c>
    </row>
    <row r="18" spans="1:4" ht="30">
      <c r="A18" s="55" t="s">
        <v>19</v>
      </c>
      <c r="B18" s="56">
        <v>32</v>
      </c>
      <c r="C18" s="19">
        <f>lookup!$C$2</f>
        <v>30</v>
      </c>
      <c r="D18" s="20">
        <f>B18*$C18</f>
        <v>960</v>
      </c>
    </row>
    <row r="19" spans="1:4">
      <c r="A19" s="4" t="s">
        <v>20</v>
      </c>
      <c r="B19" s="18">
        <v>16</v>
      </c>
      <c r="C19" s="19">
        <f>lookup!$C$2</f>
        <v>30</v>
      </c>
      <c r="D19" s="20">
        <f>B19*$C19</f>
        <v>480</v>
      </c>
    </row>
    <row r="20" spans="1:4">
      <c r="A20" s="4" t="s">
        <v>21</v>
      </c>
      <c r="B20" s="18">
        <v>8</v>
      </c>
      <c r="C20" s="19">
        <f>lookup!$C$2</f>
        <v>30</v>
      </c>
      <c r="D20" s="20">
        <f t="shared" ref="D20:D27" si="1">B20*$C20</f>
        <v>240</v>
      </c>
    </row>
    <row r="21" spans="1:4">
      <c r="A21" s="4" t="s">
        <v>22</v>
      </c>
      <c r="B21" s="18">
        <v>24</v>
      </c>
      <c r="C21" s="19">
        <f>lookup!$C$2</f>
        <v>30</v>
      </c>
      <c r="D21" s="20">
        <f t="shared" si="1"/>
        <v>720</v>
      </c>
    </row>
    <row r="22" spans="1:4">
      <c r="A22" s="4" t="s">
        <v>23</v>
      </c>
      <c r="B22" s="18">
        <v>16</v>
      </c>
      <c r="C22" s="19">
        <f>lookup!$C$2</f>
        <v>30</v>
      </c>
      <c r="D22" s="20">
        <f t="shared" si="1"/>
        <v>480</v>
      </c>
    </row>
    <row r="23" spans="1:4">
      <c r="A23" s="4" t="s">
        <v>24</v>
      </c>
      <c r="B23" s="18">
        <v>16</v>
      </c>
      <c r="C23" s="19">
        <f>lookup!$C$2</f>
        <v>30</v>
      </c>
      <c r="D23" s="20">
        <f t="shared" si="1"/>
        <v>480</v>
      </c>
    </row>
    <row r="24" spans="1:4">
      <c r="A24" s="4" t="s">
        <v>25</v>
      </c>
      <c r="B24" s="18">
        <v>16</v>
      </c>
      <c r="C24" s="19">
        <f>lookup!$C$2</f>
        <v>30</v>
      </c>
      <c r="D24" s="20">
        <f t="shared" si="1"/>
        <v>480</v>
      </c>
    </row>
    <row r="25" spans="1:4">
      <c r="A25" t="s">
        <v>26</v>
      </c>
      <c r="B25" s="18">
        <v>8</v>
      </c>
      <c r="C25" s="19">
        <f>lookup!$C$2</f>
        <v>30</v>
      </c>
      <c r="D25" s="20">
        <f t="shared" si="1"/>
        <v>240</v>
      </c>
    </row>
    <row r="26" spans="1:4">
      <c r="A26" s="4" t="s">
        <v>27</v>
      </c>
      <c r="B26" s="18">
        <v>8</v>
      </c>
      <c r="C26" s="19">
        <f>lookup!$C$2</f>
        <v>30</v>
      </c>
      <c r="D26" s="20">
        <f t="shared" si="1"/>
        <v>240</v>
      </c>
    </row>
    <row r="27" spans="1:4">
      <c r="A27" s="4" t="s">
        <v>28</v>
      </c>
      <c r="B27" s="18">
        <v>8</v>
      </c>
      <c r="C27" s="19">
        <f>lookup!$C$2</f>
        <v>30</v>
      </c>
      <c r="D27" s="20">
        <f t="shared" si="1"/>
        <v>240</v>
      </c>
    </row>
    <row r="28" spans="1:4">
      <c r="A28" s="15" t="s">
        <v>29</v>
      </c>
      <c r="B28" s="15">
        <f>SUM(B29:B31)</f>
        <v>0</v>
      </c>
      <c r="C28" s="15"/>
      <c r="D28" s="17">
        <f>SUM(D29:D31)</f>
        <v>0</v>
      </c>
    </row>
    <row r="29" spans="1:4">
      <c r="A29" s="21" t="s">
        <v>30</v>
      </c>
      <c r="B29" s="25">
        <v>0</v>
      </c>
      <c r="C29" s="54">
        <f>[1]lookup!$C$2</f>
        <v>30</v>
      </c>
      <c r="D29" s="20">
        <f>B29*$C29</f>
        <v>0</v>
      </c>
    </row>
    <row r="30" spans="1:4">
      <c r="A30" s="21" t="s">
        <v>31</v>
      </c>
      <c r="B30" s="25">
        <v>0</v>
      </c>
      <c r="C30" s="54">
        <f>[1]lookup!$C$2</f>
        <v>30</v>
      </c>
      <c r="D30" s="20">
        <f>B30*$C30</f>
        <v>0</v>
      </c>
    </row>
    <row r="31" spans="1:4">
      <c r="A31" s="24" t="s">
        <v>32</v>
      </c>
      <c r="B31" s="25">
        <v>0</v>
      </c>
      <c r="C31" s="19">
        <f>[1]lookup!$C$2</f>
        <v>30</v>
      </c>
      <c r="D31" s="20">
        <f>B31*$C31</f>
        <v>0</v>
      </c>
    </row>
    <row r="32" spans="1:4">
      <c r="A32" s="15" t="s">
        <v>33</v>
      </c>
      <c r="B32" s="22">
        <f>SUM(B33:B35)</f>
        <v>0</v>
      </c>
      <c r="C32" s="23"/>
      <c r="D32" s="17">
        <f>SUM(D33:D35)</f>
        <v>0</v>
      </c>
    </row>
    <row r="33" spans="1:9">
      <c r="A33" s="24" t="s">
        <v>34</v>
      </c>
      <c r="B33" s="21">
        <v>0</v>
      </c>
      <c r="C33" s="19">
        <f>[1]lookup!$B$2</f>
        <v>25</v>
      </c>
      <c r="D33" s="20">
        <f>B33*$C33</f>
        <v>0</v>
      </c>
    </row>
    <row r="34" spans="1:9">
      <c r="A34" s="26" t="s">
        <v>35</v>
      </c>
      <c r="B34" s="21">
        <v>0</v>
      </c>
      <c r="C34" s="19">
        <f>[1]lookup!$B$2</f>
        <v>25</v>
      </c>
      <c r="D34" s="20">
        <f>B34*$C34</f>
        <v>0</v>
      </c>
    </row>
    <row r="35" spans="1:9">
      <c r="A35" s="26" t="s">
        <v>36</v>
      </c>
      <c r="B35" s="21">
        <v>0</v>
      </c>
      <c r="C35" s="19">
        <f>[1]lookup!$B$2</f>
        <v>25</v>
      </c>
      <c r="D35" s="20">
        <f>B35*$C35</f>
        <v>0</v>
      </c>
    </row>
    <row r="36" spans="1:9">
      <c r="A36" s="15" t="s">
        <v>37</v>
      </c>
      <c r="B36" s="22">
        <f>SUM(B37:B38)</f>
        <v>62</v>
      </c>
      <c r="C36" s="23"/>
      <c r="D36" s="17">
        <f>SUM(D37:D38)</f>
        <v>1550</v>
      </c>
      <c r="G36" s="3" t="s">
        <v>38</v>
      </c>
      <c r="I36" s="3" t="s">
        <v>39</v>
      </c>
    </row>
    <row r="37" spans="1:9">
      <c r="A37" s="11" t="s">
        <v>40</v>
      </c>
      <c r="B37" s="27">
        <f>ROUNDUP(0.2*B17,0)</f>
        <v>31</v>
      </c>
      <c r="C37" s="19">
        <f>[1]lookup!$D$2</f>
        <v>25</v>
      </c>
      <c r="D37" s="20">
        <f>B37*$C37</f>
        <v>775</v>
      </c>
      <c r="G37" s="3">
        <v>350</v>
      </c>
      <c r="H37" s="188"/>
      <c r="I37" s="3">
        <v>328</v>
      </c>
    </row>
    <row r="38" spans="1:9">
      <c r="A38" s="11" t="s">
        <v>41</v>
      </c>
      <c r="B38" s="27">
        <f>ROUNDUP(0.2*B17,0)</f>
        <v>31</v>
      </c>
      <c r="C38" s="19">
        <f>[1]lookup!$D$2</f>
        <v>25</v>
      </c>
      <c r="D38" s="20">
        <f>B38*$C38</f>
        <v>775</v>
      </c>
      <c r="G38" s="3">
        <f>G37/140</f>
        <v>2.5</v>
      </c>
      <c r="H38" s="188"/>
      <c r="I38" s="3">
        <f>I37/140</f>
        <v>2.342857142857143</v>
      </c>
    </row>
    <row r="39" spans="1:9">
      <c r="A39" s="28" t="s">
        <v>42</v>
      </c>
      <c r="B39" s="29">
        <f>SUM(B7,B17,B28,B32,B36)</f>
        <v>342</v>
      </c>
      <c r="C39" s="30"/>
      <c r="D39" s="20"/>
      <c r="G39" s="3">
        <f>G38/2</f>
        <v>1.25</v>
      </c>
      <c r="I39" s="3">
        <f>I38/2</f>
        <v>1.1714285714285715</v>
      </c>
    </row>
    <row r="40" spans="1:9">
      <c r="A40" s="31" t="s">
        <v>43</v>
      </c>
      <c r="B40" s="32"/>
      <c r="C40" s="33"/>
      <c r="D40" s="34">
        <f>SUM(D7,D17,D28,D32,D36)</f>
        <v>9310</v>
      </c>
      <c r="G40" s="3" t="s">
        <v>44</v>
      </c>
    </row>
    <row r="41" spans="1:9">
      <c r="A41" s="10" t="str">
        <f>lookup!H2&amp;" Effort @ "&amp;lookup!I2</f>
        <v>Solution Architect Effort @ 0.1</v>
      </c>
      <c r="B41" s="27">
        <f>ROUNDUP(B17*lookup!C7,0)</f>
        <v>0</v>
      </c>
      <c r="C41" s="35">
        <v>0</v>
      </c>
      <c r="D41" s="36">
        <f>D$40*lookup!I2</f>
        <v>931</v>
      </c>
      <c r="I41" s="3" t="s">
        <v>45</v>
      </c>
    </row>
    <row r="42" spans="1:9">
      <c r="A42" s="10" t="str">
        <f>lookup!H3&amp;" Effort @ "&amp;lookup!I3</f>
        <v>PM Effort @ 0.05</v>
      </c>
      <c r="B42" s="27">
        <f>ROUNDUP(B17*lookup!C8,0)</f>
        <v>0</v>
      </c>
      <c r="C42" s="19">
        <v>0</v>
      </c>
      <c r="D42" s="36">
        <f>D$40*lookup!I3</f>
        <v>465.5</v>
      </c>
    </row>
    <row r="43" spans="1:9">
      <c r="A43" s="10" t="str">
        <f>lookup!H4&amp;" Effort @ "&amp;lookup!I4</f>
        <v>BA Effort @ 0.05</v>
      </c>
      <c r="B43" s="27">
        <f>ROUNDUP(SUM($B$8:$B$12)*lookup!C13,0)</f>
        <v>0</v>
      </c>
      <c r="C43" s="19">
        <v>0</v>
      </c>
      <c r="D43" s="36">
        <f>D$40*lookup!I4</f>
        <v>465.5</v>
      </c>
      <c r="E43" s="3">
        <v>5</v>
      </c>
      <c r="G43" s="3" t="s">
        <v>46</v>
      </c>
      <c r="H43" s="3" t="s">
        <v>47</v>
      </c>
    </row>
    <row r="44" spans="1:9">
      <c r="A44" s="10" t="s">
        <v>48</v>
      </c>
      <c r="B44" s="27">
        <f>ROUNDUP(SUM(B39:B43)*0.2,0)</f>
        <v>69</v>
      </c>
      <c r="C44" s="19">
        <v>22</v>
      </c>
      <c r="D44" s="37">
        <f>D$40*[1]lookup!I5</f>
        <v>931</v>
      </c>
    </row>
    <row r="45" spans="1:9">
      <c r="A45" s="10" t="s">
        <v>49</v>
      </c>
      <c r="B45" s="27"/>
      <c r="C45" s="19"/>
      <c r="D45" s="34">
        <f>SUM(D41:D44)</f>
        <v>2793</v>
      </c>
    </row>
    <row r="46" spans="1:9">
      <c r="A46" s="38" t="s">
        <v>50</v>
      </c>
      <c r="B46" s="38"/>
      <c r="C46" s="38"/>
      <c r="D46" s="39"/>
      <c r="E46" s="40"/>
    </row>
    <row r="48" spans="1:9" ht="39" customHeight="1">
      <c r="A48" s="41" t="s">
        <v>51</v>
      </c>
      <c r="B48" s="41"/>
      <c r="C48" s="41"/>
      <c r="D48" s="41"/>
    </row>
    <row r="49" spans="1:11">
      <c r="A49" s="38" t="s">
        <v>52</v>
      </c>
      <c r="B49" s="38"/>
      <c r="C49" s="38"/>
      <c r="D49" s="39">
        <f>SUM(D50,D54)</f>
        <v>315</v>
      </c>
      <c r="E49" s="42"/>
      <c r="H49" s="3">
        <v>250</v>
      </c>
      <c r="I49" s="3">
        <v>315</v>
      </c>
      <c r="J49" s="3">
        <v>160</v>
      </c>
      <c r="K49" s="3">
        <f>SUM(H49:J49)</f>
        <v>725</v>
      </c>
    </row>
    <row r="50" spans="1:11">
      <c r="A50" s="43" t="s">
        <v>53</v>
      </c>
      <c r="B50" s="18"/>
      <c r="C50" s="18"/>
      <c r="D50" s="37">
        <v>180</v>
      </c>
      <c r="E50" s="44" t="s">
        <v>54</v>
      </c>
      <c r="H50" s="3">
        <v>250</v>
      </c>
      <c r="I50" s="3">
        <v>305</v>
      </c>
      <c r="J50" s="3">
        <v>160</v>
      </c>
      <c r="K50" s="3">
        <f>SUM(H50:J50)</f>
        <v>715</v>
      </c>
    </row>
    <row r="51" spans="1:11">
      <c r="A51" s="45" t="s">
        <v>55</v>
      </c>
      <c r="B51" s="18"/>
      <c r="C51" s="18"/>
      <c r="D51" s="18"/>
      <c r="E51" s="5"/>
    </row>
    <row r="52" spans="1:11">
      <c r="A52" t="s">
        <v>56</v>
      </c>
      <c r="B52" s="18"/>
      <c r="C52" s="18"/>
      <c r="D52" s="47">
        <v>0.06</v>
      </c>
      <c r="E52" s="5"/>
    </row>
    <row r="53" spans="1:11">
      <c r="A53" t="s">
        <v>57</v>
      </c>
      <c r="B53" s="48"/>
      <c r="C53" s="18"/>
      <c r="D53" s="48">
        <f>90*25</f>
        <v>2250</v>
      </c>
      <c r="E53" s="5"/>
    </row>
    <row r="54" spans="1:11">
      <c r="A54" s="18" t="s">
        <v>58</v>
      </c>
      <c r="B54" s="18"/>
      <c r="C54" s="18"/>
      <c r="D54" s="20">
        <f>D53*D52</f>
        <v>135</v>
      </c>
    </row>
    <row r="57" spans="1:11">
      <c r="A57" s="7" t="s">
        <v>59</v>
      </c>
      <c r="B57" s="7"/>
      <c r="C57" s="7"/>
      <c r="D57" s="7"/>
    </row>
    <row r="58" spans="1:11" ht="45">
      <c r="A58" s="46" t="s">
        <v>60</v>
      </c>
      <c r="B58" s="49"/>
      <c r="C58" s="18"/>
      <c r="D58" s="49">
        <f>D52</f>
        <v>0.06</v>
      </c>
    </row>
    <row r="59" spans="1:11">
      <c r="A59" t="s">
        <v>57</v>
      </c>
      <c r="B59" s="48"/>
      <c r="C59" s="18"/>
      <c r="D59" s="48">
        <f>90*25</f>
        <v>2250</v>
      </c>
    </row>
    <row r="60" spans="1:11">
      <c r="A60" s="18" t="s">
        <v>61</v>
      </c>
      <c r="B60" s="20"/>
      <c r="C60" s="18"/>
      <c r="D60" s="20">
        <f>D59*D58</f>
        <v>135</v>
      </c>
    </row>
    <row r="61" spans="1:11">
      <c r="A61" s="50" t="s">
        <v>62</v>
      </c>
      <c r="B61" s="51"/>
      <c r="C61" s="18"/>
      <c r="D61" s="52">
        <f>3000*0.25</f>
        <v>750</v>
      </c>
    </row>
    <row r="62" spans="1:11">
      <c r="A62" s="6" t="s">
        <v>53</v>
      </c>
      <c r="B62" s="53"/>
      <c r="C62" s="18"/>
      <c r="D62" s="53">
        <v>170</v>
      </c>
      <c r="E62" s="3" t="s">
        <v>54</v>
      </c>
    </row>
    <row r="63" spans="1:11">
      <c r="A63" s="6" t="s">
        <v>63</v>
      </c>
      <c r="B63" s="53"/>
      <c r="C63" s="18"/>
      <c r="D63" s="53"/>
    </row>
    <row r="64" spans="1:11">
      <c r="A64" s="38" t="s">
        <v>64</v>
      </c>
      <c r="B64" s="39"/>
      <c r="C64" s="39"/>
      <c r="D64" s="39">
        <f>SUM(D62,D61,D60)</f>
        <v>1055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4A1C-A13E-494C-9C6F-7C19F711E624}">
  <dimension ref="A1:L46"/>
  <sheetViews>
    <sheetView topLeftCell="A15" zoomScale="85" zoomScaleNormal="85" workbookViewId="0">
      <selection activeCell="E35" sqref="E35:E39"/>
    </sheetView>
  </sheetViews>
  <sheetFormatPr defaultRowHeight="15" customHeight="1"/>
  <cols>
    <col min="1" max="1" width="5.42578125" bestFit="1" customWidth="1"/>
    <col min="2" max="2" width="70.28515625" customWidth="1"/>
    <col min="3" max="3" width="13" bestFit="1" customWidth="1"/>
    <col min="4" max="4" width="14" bestFit="1" customWidth="1"/>
    <col min="5" max="5" width="10.140625" bestFit="1" customWidth="1"/>
    <col min="6" max="6" width="16.85546875" customWidth="1"/>
    <col min="8" max="8" width="10.140625" bestFit="1" customWidth="1"/>
    <col min="9" max="12" width="7.140625" bestFit="1" customWidth="1"/>
  </cols>
  <sheetData>
    <row r="1" spans="1:12" ht="39" customHeight="1">
      <c r="A1" s="212" t="s">
        <v>65</v>
      </c>
      <c r="B1" s="213"/>
      <c r="C1" s="213"/>
      <c r="D1" s="213"/>
      <c r="E1" s="214"/>
      <c r="F1" s="72"/>
      <c r="G1" s="72"/>
      <c r="H1" s="72"/>
      <c r="I1" s="72"/>
      <c r="J1" s="72"/>
      <c r="K1" s="72"/>
      <c r="L1" s="72"/>
    </row>
    <row r="2" spans="1:12" ht="15" customHeight="1">
      <c r="A2" s="73" t="s">
        <v>66</v>
      </c>
      <c r="B2" s="74"/>
      <c r="C2" s="74"/>
      <c r="D2" s="75"/>
      <c r="E2" s="76" t="s">
        <v>66</v>
      </c>
      <c r="F2" s="72"/>
      <c r="G2" s="72"/>
      <c r="H2" s="72"/>
      <c r="I2" s="72"/>
      <c r="J2" s="72"/>
      <c r="K2" s="72"/>
      <c r="L2" s="72"/>
    </row>
    <row r="3" spans="1:12" ht="15" customHeight="1">
      <c r="A3" s="215" t="s">
        <v>67</v>
      </c>
      <c r="B3" s="216"/>
      <c r="C3" s="216"/>
      <c r="D3" s="216"/>
      <c r="E3" s="217"/>
      <c r="F3" s="72"/>
      <c r="G3" s="72"/>
      <c r="H3" s="72"/>
      <c r="I3" s="72"/>
      <c r="J3" s="72"/>
      <c r="K3" s="72"/>
      <c r="L3" s="72"/>
    </row>
    <row r="4" spans="1:12" ht="15" customHeight="1">
      <c r="A4" s="77" t="s">
        <v>68</v>
      </c>
      <c r="B4" s="78" t="s">
        <v>69</v>
      </c>
      <c r="C4" s="79" t="s">
        <v>7</v>
      </c>
      <c r="D4" s="79" t="s">
        <v>70</v>
      </c>
      <c r="E4" s="80" t="s">
        <v>43</v>
      </c>
      <c r="F4" s="72"/>
      <c r="G4" s="72"/>
      <c r="H4" s="72"/>
      <c r="I4" s="72"/>
      <c r="J4" s="72"/>
      <c r="K4" s="72"/>
      <c r="L4" s="72"/>
    </row>
    <row r="5" spans="1:12" ht="15" customHeight="1">
      <c r="A5" s="81" t="s">
        <v>66</v>
      </c>
      <c r="B5" s="82" t="s">
        <v>66</v>
      </c>
      <c r="C5" s="82" t="s">
        <v>66</v>
      </c>
      <c r="D5" s="82" t="s">
        <v>66</v>
      </c>
      <c r="E5" s="76" t="s">
        <v>66</v>
      </c>
      <c r="F5" s="72"/>
      <c r="G5" s="72"/>
      <c r="H5" s="72"/>
      <c r="I5" s="72"/>
      <c r="J5" s="72"/>
      <c r="K5" s="72"/>
      <c r="L5" s="72"/>
    </row>
    <row r="6" spans="1:12" ht="15" customHeight="1">
      <c r="A6" s="83">
        <v>1</v>
      </c>
      <c r="B6" s="84" t="s">
        <v>71</v>
      </c>
      <c r="C6" s="125">
        <f>J8</f>
        <v>22</v>
      </c>
      <c r="D6" s="126">
        <v>4</v>
      </c>
      <c r="E6" s="127">
        <f>C6*D6</f>
        <v>88</v>
      </c>
      <c r="F6" s="72"/>
      <c r="G6" s="72"/>
      <c r="H6" s="72"/>
      <c r="I6" s="72"/>
      <c r="J6" s="72"/>
      <c r="K6" s="72"/>
      <c r="L6" s="72"/>
    </row>
    <row r="7" spans="1:12" ht="15" customHeight="1">
      <c r="A7" s="85">
        <v>1.2</v>
      </c>
      <c r="B7" s="86" t="s">
        <v>72</v>
      </c>
      <c r="C7" s="128" t="s">
        <v>66</v>
      </c>
      <c r="D7" s="129">
        <v>2</v>
      </c>
      <c r="E7" s="130" t="s">
        <v>66</v>
      </c>
      <c r="F7" s="72"/>
      <c r="G7" s="72"/>
      <c r="H7" s="88" t="s">
        <v>66</v>
      </c>
      <c r="I7" s="89" t="s">
        <v>73</v>
      </c>
      <c r="J7" s="89" t="s">
        <v>74</v>
      </c>
      <c r="K7" s="89" t="s">
        <v>75</v>
      </c>
      <c r="L7" s="89" t="s">
        <v>76</v>
      </c>
    </row>
    <row r="8" spans="1:12" ht="15" customHeight="1">
      <c r="A8" s="85">
        <v>1.3</v>
      </c>
      <c r="B8" s="82" t="s">
        <v>77</v>
      </c>
      <c r="C8" s="131" t="s">
        <v>66</v>
      </c>
      <c r="D8" s="132">
        <v>2</v>
      </c>
      <c r="E8" s="133" t="s">
        <v>66</v>
      </c>
      <c r="F8" s="72"/>
      <c r="G8" s="72"/>
      <c r="H8" s="90" t="s">
        <v>78</v>
      </c>
      <c r="I8" s="124">
        <v>22</v>
      </c>
      <c r="J8" s="124">
        <v>22</v>
      </c>
      <c r="K8" s="124">
        <v>22</v>
      </c>
      <c r="L8" s="124">
        <v>22</v>
      </c>
    </row>
    <row r="9" spans="1:12" ht="15" customHeight="1">
      <c r="A9" s="81" t="s">
        <v>66</v>
      </c>
      <c r="B9" s="91" t="s">
        <v>66</v>
      </c>
      <c r="C9" s="134" t="s">
        <v>66</v>
      </c>
      <c r="D9" s="135" t="s">
        <v>66</v>
      </c>
      <c r="E9" s="136" t="s">
        <v>66</v>
      </c>
      <c r="F9" s="72"/>
      <c r="G9" s="72"/>
      <c r="H9" s="72"/>
      <c r="I9" s="72"/>
      <c r="J9" s="72"/>
      <c r="K9" s="72"/>
      <c r="L9" s="72"/>
    </row>
    <row r="10" spans="1:12" ht="15" customHeight="1">
      <c r="A10" s="92">
        <v>2</v>
      </c>
      <c r="B10" s="93" t="s">
        <v>79</v>
      </c>
      <c r="C10" s="137">
        <f>J8</f>
        <v>22</v>
      </c>
      <c r="D10" s="138">
        <f>D11</f>
        <v>14</v>
      </c>
      <c r="E10" s="139">
        <f>C10*D10</f>
        <v>308</v>
      </c>
      <c r="F10" s="72"/>
      <c r="G10" s="72">
        <v>88</v>
      </c>
      <c r="H10" s="72">
        <f>G10*110%</f>
        <v>96.800000000000011</v>
      </c>
      <c r="I10" s="72"/>
      <c r="J10" s="72"/>
      <c r="K10" s="72"/>
      <c r="L10" s="72"/>
    </row>
    <row r="11" spans="1:12" ht="15" customHeight="1">
      <c r="A11" s="94">
        <v>2.1</v>
      </c>
      <c r="B11" s="82" t="s">
        <v>80</v>
      </c>
      <c r="C11" s="140" t="s">
        <v>66</v>
      </c>
      <c r="D11" s="132">
        <v>14</v>
      </c>
      <c r="E11" s="133" t="s">
        <v>66</v>
      </c>
      <c r="F11" s="72"/>
      <c r="G11" s="72">
        <v>352</v>
      </c>
      <c r="H11" s="72">
        <f>G11*110%</f>
        <v>387.20000000000005</v>
      </c>
      <c r="I11" s="72"/>
      <c r="J11" s="72"/>
      <c r="K11" s="72"/>
      <c r="L11" s="72"/>
    </row>
    <row r="12" spans="1:12" ht="15" customHeight="1">
      <c r="A12" s="95">
        <v>3</v>
      </c>
      <c r="B12" s="96" t="s">
        <v>81</v>
      </c>
      <c r="C12" s="141">
        <f>J8</f>
        <v>22</v>
      </c>
      <c r="D12" s="142">
        <v>2</v>
      </c>
      <c r="E12" s="143">
        <f>C12*D12</f>
        <v>44</v>
      </c>
      <c r="F12" s="72"/>
      <c r="G12" s="72">
        <v>132</v>
      </c>
      <c r="H12" s="72">
        <f>G12*110%</f>
        <v>145.20000000000002</v>
      </c>
      <c r="I12" s="72"/>
      <c r="J12" s="72"/>
      <c r="K12" s="72"/>
      <c r="L12" s="72"/>
    </row>
    <row r="13" spans="1:12" ht="15" customHeight="1">
      <c r="A13" s="97">
        <v>3.1</v>
      </c>
      <c r="B13" s="98" t="s">
        <v>82</v>
      </c>
      <c r="C13" s="144" t="s">
        <v>66</v>
      </c>
      <c r="D13" s="145">
        <v>1</v>
      </c>
      <c r="E13" s="146" t="s">
        <v>66</v>
      </c>
      <c r="F13" s="72"/>
      <c r="G13" s="72"/>
      <c r="H13" s="72">
        <f>SUM(H10:H12)</f>
        <v>629.20000000000005</v>
      </c>
      <c r="I13" s="72"/>
      <c r="J13" s="72"/>
      <c r="K13" s="72"/>
      <c r="L13" s="72"/>
    </row>
    <row r="14" spans="1:12" ht="15" customHeight="1">
      <c r="A14" s="99">
        <v>3.4</v>
      </c>
      <c r="B14" s="100" t="s">
        <v>83</v>
      </c>
      <c r="C14" s="147" t="s">
        <v>66</v>
      </c>
      <c r="D14" s="148">
        <v>1</v>
      </c>
      <c r="E14" s="149" t="s">
        <v>66</v>
      </c>
      <c r="F14" s="72"/>
      <c r="G14" s="72"/>
      <c r="H14" s="72"/>
      <c r="I14" s="72"/>
      <c r="J14" s="72"/>
      <c r="K14" s="72"/>
      <c r="L14" s="72"/>
    </row>
    <row r="15" spans="1:12" ht="15" customHeight="1">
      <c r="A15" s="101">
        <v>4</v>
      </c>
      <c r="B15" s="102" t="s">
        <v>84</v>
      </c>
      <c r="C15" s="150">
        <f>J8</f>
        <v>22</v>
      </c>
      <c r="D15" s="151">
        <v>2</v>
      </c>
      <c r="E15" s="152">
        <f>C15*D15</f>
        <v>44</v>
      </c>
      <c r="F15" s="72"/>
      <c r="G15" s="72"/>
      <c r="H15" s="72"/>
      <c r="I15" s="72"/>
      <c r="J15" s="72"/>
      <c r="K15" s="72"/>
      <c r="L15" s="72"/>
    </row>
    <row r="16" spans="1:12" ht="15" customHeight="1">
      <c r="A16" s="104">
        <v>4.0999999999999996</v>
      </c>
      <c r="B16" s="105" t="s">
        <v>85</v>
      </c>
      <c r="C16" s="147" t="s">
        <v>66</v>
      </c>
      <c r="D16" s="148" t="s">
        <v>66</v>
      </c>
      <c r="E16" s="149" t="s">
        <v>66</v>
      </c>
      <c r="F16" s="72"/>
      <c r="G16" s="72"/>
      <c r="H16" s="72"/>
      <c r="I16" s="72"/>
      <c r="J16" s="72"/>
      <c r="K16" s="72"/>
      <c r="L16" s="72"/>
    </row>
    <row r="17" spans="1:12" ht="15" customHeight="1">
      <c r="A17" s="101">
        <v>5</v>
      </c>
      <c r="B17" s="102" t="s">
        <v>86</v>
      </c>
      <c r="C17" s="150">
        <f>J8</f>
        <v>22</v>
      </c>
      <c r="D17" s="151">
        <v>2</v>
      </c>
      <c r="E17" s="152">
        <f>C17*D17</f>
        <v>44</v>
      </c>
      <c r="F17" s="72"/>
      <c r="G17" s="72"/>
      <c r="H17" s="72"/>
      <c r="I17" s="72"/>
      <c r="J17" s="72"/>
      <c r="K17" s="72"/>
      <c r="L17" s="72"/>
    </row>
    <row r="18" spans="1:12" ht="15" customHeight="1">
      <c r="A18" s="101">
        <v>6</v>
      </c>
      <c r="B18" s="102" t="s">
        <v>87</v>
      </c>
      <c r="C18" s="150">
        <f>J8</f>
        <v>22</v>
      </c>
      <c r="D18" s="151">
        <v>2</v>
      </c>
      <c r="E18" s="152">
        <f>C18*D18</f>
        <v>44</v>
      </c>
      <c r="F18" s="72"/>
      <c r="G18" s="72"/>
      <c r="H18" s="72"/>
      <c r="I18" s="72"/>
      <c r="J18" s="72"/>
      <c r="K18" s="72"/>
      <c r="L18" s="72"/>
    </row>
    <row r="19" spans="1:12" ht="15" customHeight="1">
      <c r="A19" s="106">
        <v>7</v>
      </c>
      <c r="B19" s="107" t="s">
        <v>88</v>
      </c>
      <c r="C19" s="153">
        <f>J8</f>
        <v>22</v>
      </c>
      <c r="D19" s="154">
        <v>0</v>
      </c>
      <c r="E19" s="152">
        <f>C19*D19</f>
        <v>0</v>
      </c>
      <c r="F19" s="72"/>
      <c r="G19" s="72"/>
      <c r="H19" s="72"/>
      <c r="I19" s="72"/>
      <c r="J19" s="72"/>
      <c r="K19" s="72"/>
      <c r="L19" s="72"/>
    </row>
    <row r="20" spans="1:12" ht="15" customHeight="1">
      <c r="A20" s="83">
        <v>8</v>
      </c>
      <c r="B20" s="84" t="s">
        <v>89</v>
      </c>
      <c r="C20" s="125">
        <f>J8</f>
        <v>22</v>
      </c>
      <c r="D20" s="126">
        <v>0</v>
      </c>
      <c r="E20" s="127">
        <f>C20*D20</f>
        <v>0</v>
      </c>
      <c r="F20" s="72"/>
      <c r="G20" s="72"/>
      <c r="H20" s="72"/>
      <c r="I20" s="72"/>
      <c r="J20" s="72"/>
      <c r="K20" s="72"/>
      <c r="L20" s="72"/>
    </row>
    <row r="21" spans="1:12" ht="15" customHeight="1">
      <c r="A21" s="104">
        <v>8.1</v>
      </c>
      <c r="B21" s="105" t="s">
        <v>90</v>
      </c>
      <c r="C21" s="147" t="s">
        <v>66</v>
      </c>
      <c r="D21" s="148" t="s">
        <v>66</v>
      </c>
      <c r="E21" s="149" t="s">
        <v>66</v>
      </c>
      <c r="F21" s="72"/>
      <c r="G21" s="72"/>
      <c r="H21" s="72"/>
      <c r="I21" s="72"/>
      <c r="J21" s="72"/>
      <c r="K21" s="72"/>
      <c r="L21" s="72"/>
    </row>
    <row r="22" spans="1:12" ht="15" customHeight="1">
      <c r="A22" s="101">
        <v>9</v>
      </c>
      <c r="B22" s="102" t="s">
        <v>91</v>
      </c>
      <c r="C22" s="155" t="s">
        <v>66</v>
      </c>
      <c r="D22" s="151" t="s">
        <v>66</v>
      </c>
      <c r="E22" s="152">
        <f>E40</f>
        <v>250</v>
      </c>
      <c r="F22" s="72"/>
      <c r="G22" s="72"/>
      <c r="H22" s="72"/>
      <c r="I22" s="72"/>
      <c r="J22" s="72"/>
      <c r="K22" s="72"/>
      <c r="L22" s="72"/>
    </row>
    <row r="23" spans="1:12" ht="15" customHeight="1">
      <c r="A23" s="73">
        <v>9.1</v>
      </c>
      <c r="B23" s="108" t="s">
        <v>92</v>
      </c>
      <c r="C23" s="156" t="s">
        <v>66</v>
      </c>
      <c r="D23" s="157" t="s">
        <v>66</v>
      </c>
      <c r="E23" s="133" t="s">
        <v>66</v>
      </c>
      <c r="F23" s="72"/>
      <c r="G23" s="72"/>
      <c r="H23" s="72"/>
      <c r="I23" s="72"/>
      <c r="J23" s="72"/>
      <c r="K23" s="72"/>
      <c r="L23" s="72"/>
    </row>
    <row r="24" spans="1:12" ht="15" customHeight="1">
      <c r="A24" s="109" t="s">
        <v>66</v>
      </c>
      <c r="B24" s="110" t="s">
        <v>93</v>
      </c>
      <c r="C24" s="158">
        <f>J8</f>
        <v>22</v>
      </c>
      <c r="D24" s="159">
        <f>SUM(D6,D10,D12,D15,D17,D18,D19,D20)</f>
        <v>26</v>
      </c>
      <c r="E24" s="160">
        <f>SUM(E6,E10,E12,E15,E17,E18,E19,E20,E22)</f>
        <v>822</v>
      </c>
      <c r="F24" s="72"/>
      <c r="G24" s="72"/>
      <c r="H24" s="72"/>
      <c r="I24" s="72"/>
      <c r="J24" s="72"/>
      <c r="K24" s="72"/>
      <c r="L24" s="72"/>
    </row>
    <row r="25" spans="1:12" ht="15" customHeight="1">
      <c r="A25" s="111" t="s">
        <v>66</v>
      </c>
      <c r="B25" s="112" t="s">
        <v>94</v>
      </c>
      <c r="C25" s="161">
        <f>J8</f>
        <v>22</v>
      </c>
      <c r="D25" s="162">
        <f>D24*0.1</f>
        <v>2.6</v>
      </c>
      <c r="E25" s="163">
        <f>C25*D25</f>
        <v>57.2</v>
      </c>
      <c r="F25" s="72"/>
      <c r="G25" s="72"/>
      <c r="H25" s="72"/>
      <c r="I25" s="72"/>
      <c r="J25" s="72"/>
      <c r="K25" s="72"/>
      <c r="L25" s="72"/>
    </row>
    <row r="26" spans="1:12" ht="15" customHeight="1">
      <c r="A26" s="113" t="s">
        <v>66</v>
      </c>
      <c r="B26" s="114" t="s">
        <v>95</v>
      </c>
      <c r="C26" s="164" t="s">
        <v>66</v>
      </c>
      <c r="D26" s="165">
        <f>SUM(D24+D25)</f>
        <v>28.6</v>
      </c>
      <c r="E26" s="166">
        <f>SUM(E24+E25)</f>
        <v>879.2</v>
      </c>
      <c r="F26" s="184">
        <f>E26-250</f>
        <v>629.20000000000005</v>
      </c>
      <c r="G26" s="72"/>
      <c r="H26" s="72"/>
      <c r="I26" s="72"/>
      <c r="J26" s="72"/>
      <c r="K26" s="72"/>
      <c r="L26" s="72"/>
    </row>
    <row r="27" spans="1:12" ht="15" customHeight="1">
      <c r="A27" s="115" t="s">
        <v>66</v>
      </c>
      <c r="B27" s="75"/>
      <c r="C27" s="75"/>
      <c r="D27" s="75"/>
      <c r="E27" s="76" t="s">
        <v>66</v>
      </c>
      <c r="F27" s="72"/>
      <c r="G27" s="72"/>
      <c r="H27" s="72"/>
      <c r="I27" s="72"/>
      <c r="J27" s="72"/>
      <c r="K27" s="72"/>
      <c r="L27" s="72"/>
    </row>
    <row r="28" spans="1:12" ht="15" customHeight="1">
      <c r="A28" s="115" t="s">
        <v>66</v>
      </c>
      <c r="B28" s="75"/>
      <c r="C28" s="75"/>
      <c r="D28" s="75"/>
      <c r="E28" s="76" t="s">
        <v>66</v>
      </c>
      <c r="F28" s="72"/>
      <c r="G28" s="72"/>
      <c r="H28" s="72"/>
      <c r="I28" s="72"/>
      <c r="J28" s="72"/>
      <c r="K28" s="72"/>
      <c r="L28" s="72"/>
    </row>
    <row r="29" spans="1:12" ht="15" customHeight="1">
      <c r="A29" s="218" t="s">
        <v>96</v>
      </c>
      <c r="B29" s="219"/>
      <c r="C29" s="219"/>
      <c r="D29" s="219"/>
      <c r="E29" s="220"/>
      <c r="F29" s="72"/>
      <c r="G29" s="72"/>
      <c r="H29" s="72"/>
      <c r="I29" s="72"/>
      <c r="J29" s="72"/>
      <c r="K29" s="72"/>
      <c r="L29" s="72"/>
    </row>
    <row r="30" spans="1:12" ht="1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</row>
    <row r="31" spans="1:12" ht="15" customHeight="1">
      <c r="A31" s="221" t="s">
        <v>97</v>
      </c>
      <c r="B31" s="222"/>
      <c r="C31" s="222"/>
      <c r="D31" s="222"/>
      <c r="E31" s="223"/>
      <c r="F31" s="72"/>
      <c r="G31" s="72"/>
      <c r="H31" s="72"/>
      <c r="I31" s="72"/>
      <c r="J31" s="72"/>
      <c r="K31" s="72"/>
      <c r="L31" s="72"/>
    </row>
    <row r="32" spans="1:12" ht="15" customHeight="1">
      <c r="A32" s="167" t="s">
        <v>98</v>
      </c>
      <c r="B32" s="116" t="s">
        <v>99</v>
      </c>
      <c r="C32" s="116" t="s">
        <v>66</v>
      </c>
      <c r="D32" s="117" t="s">
        <v>100</v>
      </c>
      <c r="E32" s="168" t="s">
        <v>101</v>
      </c>
      <c r="F32" s="72"/>
      <c r="G32" s="72"/>
      <c r="H32" s="72"/>
      <c r="I32" s="72"/>
      <c r="J32" s="72"/>
      <c r="K32" s="72"/>
      <c r="L32" s="72"/>
    </row>
    <row r="33" spans="1:12" ht="15" customHeight="1">
      <c r="A33" s="169" t="s">
        <v>102</v>
      </c>
      <c r="B33" s="118" t="s">
        <v>103</v>
      </c>
      <c r="C33" s="118" t="s">
        <v>66</v>
      </c>
      <c r="D33" s="119">
        <v>0.1</v>
      </c>
      <c r="E33" s="170">
        <f>D33*3000</f>
        <v>300</v>
      </c>
      <c r="F33" s="72"/>
      <c r="G33" s="72"/>
      <c r="H33" s="72"/>
      <c r="I33" s="72"/>
      <c r="J33" s="72"/>
      <c r="K33" s="72"/>
      <c r="L33" s="72"/>
    </row>
    <row r="34" spans="1:12" ht="15" customHeight="1">
      <c r="A34" s="171" t="s">
        <v>104</v>
      </c>
      <c r="B34" s="102" t="s">
        <v>105</v>
      </c>
      <c r="C34" s="102" t="s">
        <v>66</v>
      </c>
      <c r="D34" s="103" t="s">
        <v>66</v>
      </c>
      <c r="E34" s="206" t="s">
        <v>66</v>
      </c>
      <c r="F34" s="209" t="s">
        <v>106</v>
      </c>
      <c r="G34" s="72"/>
      <c r="H34" s="72"/>
      <c r="I34" s="72"/>
      <c r="J34" s="72"/>
      <c r="K34" s="72"/>
      <c r="L34" s="72"/>
    </row>
    <row r="35" spans="1:12" ht="15" customHeight="1">
      <c r="A35" s="172" t="s">
        <v>107</v>
      </c>
      <c r="B35" s="120" t="s">
        <v>108</v>
      </c>
      <c r="C35" s="121" t="s">
        <v>66</v>
      </c>
      <c r="D35" s="87" t="s">
        <v>109</v>
      </c>
      <c r="E35" s="207">
        <v>20</v>
      </c>
      <c r="F35" s="205">
        <v>20</v>
      </c>
      <c r="G35" s="72"/>
      <c r="H35" s="72"/>
      <c r="I35" s="72"/>
      <c r="J35" s="72"/>
      <c r="K35" s="72"/>
      <c r="L35" s="72"/>
    </row>
    <row r="36" spans="1:12" ht="15" customHeight="1">
      <c r="A36" s="172" t="s">
        <v>110</v>
      </c>
      <c r="B36" s="120" t="s">
        <v>111</v>
      </c>
      <c r="C36" s="204" t="s">
        <v>112</v>
      </c>
      <c r="D36" s="87" t="s">
        <v>109</v>
      </c>
      <c r="E36" s="207">
        <v>50</v>
      </c>
      <c r="F36" s="205">
        <v>97.71</v>
      </c>
      <c r="G36" s="72"/>
      <c r="H36" s="72"/>
      <c r="I36" s="72"/>
      <c r="J36" s="72"/>
      <c r="K36" s="72"/>
      <c r="L36" s="72"/>
    </row>
    <row r="37" spans="1:12" ht="15" customHeight="1">
      <c r="A37" s="172" t="s">
        <v>113</v>
      </c>
      <c r="B37" s="120" t="s">
        <v>114</v>
      </c>
      <c r="C37" s="204" t="s">
        <v>115</v>
      </c>
      <c r="D37" s="87" t="s">
        <v>109</v>
      </c>
      <c r="E37" s="207">
        <v>150</v>
      </c>
      <c r="F37" s="205">
        <v>271.69</v>
      </c>
      <c r="G37" s="72"/>
      <c r="H37" s="72"/>
      <c r="I37" s="72"/>
      <c r="J37" s="72"/>
      <c r="K37" s="72"/>
      <c r="L37" s="72"/>
    </row>
    <row r="38" spans="1:12" ht="15" customHeight="1">
      <c r="A38" s="172" t="s">
        <v>116</v>
      </c>
      <c r="B38" s="120" t="s">
        <v>117</v>
      </c>
      <c r="C38" s="121" t="s">
        <v>66</v>
      </c>
      <c r="D38" s="87" t="s">
        <v>109</v>
      </c>
      <c r="E38" s="207">
        <v>20</v>
      </c>
      <c r="F38" s="205">
        <v>20</v>
      </c>
      <c r="G38" s="72"/>
      <c r="H38" s="72"/>
      <c r="I38" s="72"/>
      <c r="J38" s="72"/>
      <c r="K38" s="72"/>
      <c r="L38" s="72"/>
    </row>
    <row r="39" spans="1:12" ht="15" customHeight="1">
      <c r="A39" s="172" t="s">
        <v>118</v>
      </c>
      <c r="B39" s="120" t="s">
        <v>119</v>
      </c>
      <c r="C39" s="121" t="s">
        <v>66</v>
      </c>
      <c r="D39" s="87" t="s">
        <v>109</v>
      </c>
      <c r="E39" s="207">
        <v>10</v>
      </c>
      <c r="F39" s="205">
        <v>10</v>
      </c>
      <c r="G39" s="72"/>
      <c r="H39" s="72"/>
      <c r="I39" s="72"/>
      <c r="J39" s="72"/>
      <c r="K39" s="72"/>
      <c r="L39" s="72"/>
    </row>
    <row r="40" spans="1:12" ht="15" customHeight="1">
      <c r="A40" s="173" t="s">
        <v>66</v>
      </c>
      <c r="B40" s="122" t="s">
        <v>120</v>
      </c>
      <c r="C40" s="122" t="s">
        <v>66</v>
      </c>
      <c r="D40" s="123" t="s">
        <v>66</v>
      </c>
      <c r="E40" s="208">
        <f>SUM(E35:E39)</f>
        <v>250</v>
      </c>
      <c r="F40" s="208">
        <f>SUM(F35:F39)</f>
        <v>419.4</v>
      </c>
      <c r="G40" s="72"/>
      <c r="H40" s="72"/>
      <c r="I40" s="72"/>
      <c r="J40" s="72"/>
      <c r="K40" s="72"/>
      <c r="L40" s="72"/>
    </row>
    <row r="41" spans="1:12" ht="15" customHeight="1">
      <c r="A41" s="73" t="s">
        <v>66</v>
      </c>
      <c r="B41" s="74"/>
      <c r="C41" s="74"/>
      <c r="D41" s="75"/>
      <c r="E41" s="76" t="s">
        <v>66</v>
      </c>
      <c r="F41" s="72"/>
      <c r="G41" s="72"/>
      <c r="H41" s="72"/>
      <c r="I41" s="72"/>
      <c r="J41" s="72"/>
      <c r="K41" s="72"/>
      <c r="L41" s="72"/>
    </row>
    <row r="42" spans="1:12" ht="21">
      <c r="A42" s="224" t="s">
        <v>121</v>
      </c>
      <c r="B42" s="225"/>
      <c r="C42" s="225"/>
      <c r="D42" s="225"/>
      <c r="E42" s="226"/>
      <c r="F42" s="72"/>
      <c r="G42" s="72"/>
      <c r="H42" s="72"/>
      <c r="I42" s="72"/>
      <c r="J42" s="72"/>
      <c r="K42" s="72"/>
      <c r="L42" s="72"/>
    </row>
    <row r="43" spans="1:12" ht="15" customHeight="1">
      <c r="A43" s="85">
        <v>1</v>
      </c>
      <c r="B43" s="227" t="s">
        <v>122</v>
      </c>
      <c r="C43" s="227"/>
      <c r="D43" s="227"/>
      <c r="E43" s="228"/>
      <c r="F43" s="72"/>
      <c r="G43" s="72"/>
      <c r="H43" s="72"/>
      <c r="I43" s="72"/>
      <c r="J43" s="72"/>
      <c r="K43" s="72"/>
      <c r="L43" s="72"/>
    </row>
    <row r="44" spans="1:12" ht="15" customHeight="1">
      <c r="A44" s="85">
        <v>2</v>
      </c>
      <c r="B44" s="210" t="s">
        <v>123</v>
      </c>
      <c r="C44" s="210"/>
      <c r="D44" s="210"/>
      <c r="E44" s="211"/>
      <c r="F44" s="72"/>
      <c r="G44" s="72"/>
      <c r="H44" s="72"/>
      <c r="I44" s="72"/>
      <c r="J44" s="72"/>
      <c r="K44" s="72"/>
      <c r="L44" s="72"/>
    </row>
    <row r="45" spans="1:12" ht="15" customHeight="1">
      <c r="A45" s="85">
        <v>3</v>
      </c>
      <c r="B45" s="210" t="s">
        <v>124</v>
      </c>
      <c r="C45" s="210"/>
      <c r="D45" s="210"/>
      <c r="E45" s="211"/>
      <c r="F45" s="72"/>
      <c r="G45" s="72"/>
      <c r="H45" s="72"/>
      <c r="I45" s="72"/>
      <c r="J45" s="72"/>
      <c r="K45" s="72"/>
      <c r="L45" s="72"/>
    </row>
    <row r="46" spans="1:12" ht="15" customHeight="1">
      <c r="A46" s="104">
        <v>4</v>
      </c>
      <c r="B46" s="176" t="s">
        <v>125</v>
      </c>
      <c r="C46" s="174" t="s">
        <v>66</v>
      </c>
      <c r="D46" s="174" t="s">
        <v>66</v>
      </c>
      <c r="E46" s="175" t="s">
        <v>66</v>
      </c>
      <c r="F46" s="72"/>
      <c r="G46" s="72"/>
      <c r="H46" s="72"/>
      <c r="I46" s="72"/>
      <c r="J46" s="72"/>
      <c r="K46" s="72"/>
      <c r="L46" s="72"/>
    </row>
  </sheetData>
  <mergeCells count="8">
    <mergeCell ref="B44:E44"/>
    <mergeCell ref="B45:E45"/>
    <mergeCell ref="A1:E1"/>
    <mergeCell ref="A3:E3"/>
    <mergeCell ref="A29:E29"/>
    <mergeCell ref="A31:E31"/>
    <mergeCell ref="A42:E42"/>
    <mergeCell ref="B43:E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8538-761D-4182-822C-30C48D085ED9}">
  <dimension ref="A1:C11"/>
  <sheetViews>
    <sheetView zoomScaleNormal="100" workbookViewId="0">
      <selection activeCell="A5" sqref="A5"/>
    </sheetView>
  </sheetViews>
  <sheetFormatPr defaultRowHeight="15"/>
  <cols>
    <col min="1" max="1" width="101.140625" bestFit="1" customWidth="1"/>
    <col min="2" max="2" width="14.5703125" customWidth="1"/>
    <col min="3" max="3" width="15.5703125" customWidth="1"/>
  </cols>
  <sheetData>
    <row r="1" spans="1:3">
      <c r="A1" s="58" t="s">
        <v>3</v>
      </c>
      <c r="B1" s="60" t="s">
        <v>126</v>
      </c>
      <c r="C1" s="60" t="s">
        <v>101</v>
      </c>
    </row>
    <row r="2" spans="1:3">
      <c r="A2" s="4" t="s">
        <v>127</v>
      </c>
      <c r="B2" s="4"/>
      <c r="C2" s="57">
        <f>AIML_cost!D5</f>
        <v>10000</v>
      </c>
    </row>
    <row r="3" spans="1:3">
      <c r="A3" s="4" t="s">
        <v>8</v>
      </c>
      <c r="B3" s="4">
        <f>VLOOKUP($A3,AIML_cost!$A:$D,2,0)</f>
        <v>128</v>
      </c>
      <c r="C3" s="57">
        <f>VLOOKUP($A3,AIML_cost!$A:$D,4,0)</f>
        <v>3200</v>
      </c>
    </row>
    <row r="4" spans="1:3">
      <c r="A4" s="4" t="s">
        <v>18</v>
      </c>
      <c r="B4" s="4">
        <f>VLOOKUP($A4,AIML_cost!$A:$D,2,0)</f>
        <v>152</v>
      </c>
      <c r="C4" s="57">
        <f>VLOOKUP($A4,AIML_cost!$A:$D,4,0)</f>
        <v>4560</v>
      </c>
    </row>
    <row r="5" spans="1:3">
      <c r="A5" s="4" t="s">
        <v>29</v>
      </c>
      <c r="B5" s="4">
        <f>VLOOKUP($A5,AIML_cost!$A:$D,2,0)</f>
        <v>0</v>
      </c>
      <c r="C5" s="57">
        <f>VLOOKUP($A5,AIML_cost!$A:$D,4,0)</f>
        <v>0</v>
      </c>
    </row>
    <row r="6" spans="1:3">
      <c r="A6" s="4" t="s">
        <v>33</v>
      </c>
      <c r="B6" s="4">
        <f>VLOOKUP($A6,AIML_cost!$A:$D,2,0)</f>
        <v>0</v>
      </c>
      <c r="C6" s="57">
        <f>VLOOKUP($A6,AIML_cost!$A:$D,4,0)</f>
        <v>0</v>
      </c>
    </row>
    <row r="7" spans="1:3">
      <c r="A7" s="4" t="s">
        <v>37</v>
      </c>
      <c r="B7" s="4">
        <f>VLOOKUP($A7,AIML_cost!$A:$D,2,0)</f>
        <v>62</v>
      </c>
      <c r="C7" s="57">
        <f>VLOOKUP($A7,AIML_cost!$A:$D,4,0)</f>
        <v>1550</v>
      </c>
    </row>
    <row r="8" spans="1:3">
      <c r="A8" s="4" t="s">
        <v>49</v>
      </c>
      <c r="B8" s="4">
        <f>VLOOKUP($A8,AIML_cost!$A:$D,2,0)</f>
        <v>0</v>
      </c>
      <c r="C8" s="57">
        <f>VLOOKUP($A8,AIML_cost!$A:$D,4,0)</f>
        <v>2793</v>
      </c>
    </row>
    <row r="9" spans="1:3">
      <c r="A9" s="4" t="s">
        <v>52</v>
      </c>
      <c r="B9" s="4">
        <f>VLOOKUP($A9,AIML_cost!$A:$D,2,0)</f>
        <v>0</v>
      </c>
      <c r="C9" s="57">
        <f>VLOOKUP($A9,AIML_cost!$A:$D,4,0)</f>
        <v>315</v>
      </c>
    </row>
    <row r="10" spans="1:3">
      <c r="A10" s="58" t="s">
        <v>128</v>
      </c>
      <c r="B10" s="58"/>
      <c r="C10" s="59">
        <f>SUM(C2:C9)</f>
        <v>22418</v>
      </c>
    </row>
    <row r="11" spans="1:3">
      <c r="A11" s="58" t="s">
        <v>64</v>
      </c>
      <c r="B11" s="58"/>
      <c r="C11" s="59">
        <f>VLOOKUP($A11,AIML_cost!$A:$D,4,0)</f>
        <v>1055</v>
      </c>
    </row>
  </sheetData>
  <pageMargins left="0.7" right="0.7" top="0.75" bottom="0.75" header="0.3" footer="0.3"/>
  <ignoredErrors>
    <ignoredError sqref="C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FE51-F4CC-4A72-8B45-097568195EC3}">
  <dimension ref="A1:L31"/>
  <sheetViews>
    <sheetView topLeftCell="B20" workbookViewId="0">
      <selection activeCell="L26" sqref="L26"/>
    </sheetView>
  </sheetViews>
  <sheetFormatPr defaultRowHeight="15"/>
  <cols>
    <col min="1" max="1" width="10.140625" customWidth="1"/>
    <col min="2" max="2" width="40.42578125" customWidth="1"/>
    <col min="3" max="3" width="51.28515625" customWidth="1"/>
    <col min="4" max="4" width="18.85546875" customWidth="1"/>
    <col min="6" max="6" width="18.28515625" customWidth="1"/>
    <col min="7" max="7" width="21.140625" customWidth="1"/>
    <col min="8" max="8" width="23.7109375" customWidth="1"/>
    <col min="9" max="9" width="15.28515625" customWidth="1"/>
    <col min="10" max="10" width="28" customWidth="1"/>
    <col min="11" max="11" width="20.7109375" bestFit="1" customWidth="1"/>
  </cols>
  <sheetData>
    <row r="1" spans="1:6">
      <c r="A1" s="186" t="s">
        <v>129</v>
      </c>
      <c r="B1" s="186" t="s">
        <v>130</v>
      </c>
      <c r="C1" s="186" t="s">
        <v>3</v>
      </c>
      <c r="D1" s="188" t="s">
        <v>131</v>
      </c>
      <c r="E1" t="s">
        <v>132</v>
      </c>
      <c r="F1" t="s">
        <v>133</v>
      </c>
    </row>
    <row r="2" spans="1:6">
      <c r="A2" s="189">
        <v>1</v>
      </c>
      <c r="B2" s="200" t="s">
        <v>134</v>
      </c>
      <c r="C2" s="189" t="s">
        <v>135</v>
      </c>
      <c r="D2" s="187">
        <v>16</v>
      </c>
      <c r="E2">
        <v>30</v>
      </c>
      <c r="F2">
        <f>D2*E2</f>
        <v>480</v>
      </c>
    </row>
    <row r="3" spans="1:6">
      <c r="A3" s="189">
        <v>2</v>
      </c>
      <c r="B3" s="201" t="s">
        <v>136</v>
      </c>
      <c r="C3" s="189" t="s">
        <v>137</v>
      </c>
      <c r="D3" s="187">
        <v>16</v>
      </c>
      <c r="E3">
        <v>30</v>
      </c>
      <c r="F3">
        <f>D3*E3</f>
        <v>480</v>
      </c>
    </row>
    <row r="4" spans="1:6" ht="30">
      <c r="A4" s="189">
        <v>3</v>
      </c>
      <c r="B4" s="201" t="s">
        <v>138</v>
      </c>
      <c r="C4" s="189" t="s">
        <v>139</v>
      </c>
      <c r="D4" s="187">
        <v>16</v>
      </c>
      <c r="E4">
        <v>30</v>
      </c>
      <c r="F4">
        <f>D4*E4</f>
        <v>480</v>
      </c>
    </row>
    <row r="5" spans="1:6">
      <c r="A5" s="189">
        <v>4</v>
      </c>
      <c r="B5" s="202" t="s">
        <v>140</v>
      </c>
      <c r="C5" s="189" t="s">
        <v>141</v>
      </c>
      <c r="D5" s="187">
        <v>24</v>
      </c>
      <c r="E5">
        <v>30</v>
      </c>
      <c r="F5">
        <f>D5*E5</f>
        <v>720</v>
      </c>
    </row>
    <row r="6" spans="1:6">
      <c r="A6" s="189">
        <v>5</v>
      </c>
      <c r="B6" s="202" t="s">
        <v>142</v>
      </c>
      <c r="C6" s="189" t="s">
        <v>143</v>
      </c>
      <c r="D6" s="187">
        <v>24</v>
      </c>
      <c r="E6">
        <v>30</v>
      </c>
      <c r="F6">
        <f>D6*E6</f>
        <v>720</v>
      </c>
    </row>
    <row r="7" spans="1:6" ht="30">
      <c r="A7" s="189">
        <v>6</v>
      </c>
      <c r="B7" s="201" t="s">
        <v>144</v>
      </c>
      <c r="C7" s="189" t="s">
        <v>145</v>
      </c>
      <c r="D7" s="187">
        <v>32</v>
      </c>
      <c r="E7">
        <v>30</v>
      </c>
      <c r="F7">
        <f>D7*E7</f>
        <v>960</v>
      </c>
    </row>
    <row r="8" spans="1:6">
      <c r="A8" s="189">
        <v>7</v>
      </c>
      <c r="B8" s="202" t="s">
        <v>146</v>
      </c>
      <c r="C8" s="189" t="s">
        <v>147</v>
      </c>
      <c r="D8" s="187">
        <v>16</v>
      </c>
      <c r="E8">
        <v>30</v>
      </c>
      <c r="F8">
        <f>D8*E8</f>
        <v>480</v>
      </c>
    </row>
    <row r="9" spans="1:6">
      <c r="A9" s="189">
        <v>8</v>
      </c>
      <c r="B9" s="202" t="s">
        <v>148</v>
      </c>
      <c r="C9" s="189" t="s">
        <v>149</v>
      </c>
      <c r="D9" s="187">
        <v>16</v>
      </c>
      <c r="E9">
        <v>30</v>
      </c>
      <c r="F9">
        <f>D9*E9</f>
        <v>480</v>
      </c>
    </row>
    <row r="10" spans="1:6">
      <c r="A10" s="189">
        <v>9</v>
      </c>
      <c r="B10" s="201" t="s">
        <v>150</v>
      </c>
      <c r="C10" s="189" t="s">
        <v>151</v>
      </c>
      <c r="D10" s="187">
        <v>16</v>
      </c>
      <c r="E10">
        <v>30</v>
      </c>
      <c r="F10">
        <f>D10*E10</f>
        <v>480</v>
      </c>
    </row>
    <row r="11" spans="1:6" ht="30">
      <c r="A11" s="189">
        <v>10</v>
      </c>
      <c r="B11" s="203" t="s">
        <v>152</v>
      </c>
      <c r="C11" s="189" t="s">
        <v>153</v>
      </c>
      <c r="D11" s="187">
        <v>32</v>
      </c>
      <c r="E11">
        <v>30</v>
      </c>
      <c r="F11">
        <f>D11*E11</f>
        <v>960</v>
      </c>
    </row>
    <row r="12" spans="1:6" ht="30">
      <c r="A12" s="189">
        <v>11</v>
      </c>
      <c r="B12" s="200" t="s">
        <v>154</v>
      </c>
      <c r="C12" s="189" t="s">
        <v>155</v>
      </c>
      <c r="D12" s="187">
        <v>8</v>
      </c>
      <c r="E12">
        <v>30</v>
      </c>
      <c r="F12">
        <f>D12*E12</f>
        <v>240</v>
      </c>
    </row>
    <row r="13" spans="1:6" ht="30">
      <c r="A13" s="189">
        <v>12</v>
      </c>
      <c r="B13" s="200" t="s">
        <v>156</v>
      </c>
      <c r="C13" s="189" t="s">
        <v>157</v>
      </c>
      <c r="D13" s="187">
        <v>16</v>
      </c>
      <c r="E13">
        <v>30</v>
      </c>
      <c r="F13">
        <f>D13*E13</f>
        <v>480</v>
      </c>
    </row>
    <row r="14" spans="1:6" ht="30">
      <c r="A14" s="189">
        <v>13</v>
      </c>
      <c r="B14" s="203" t="s">
        <v>158</v>
      </c>
      <c r="C14" s="189" t="s">
        <v>159</v>
      </c>
      <c r="D14" s="187">
        <v>32</v>
      </c>
      <c r="E14">
        <v>30</v>
      </c>
      <c r="F14">
        <f>D14*E14</f>
        <v>960</v>
      </c>
    </row>
    <row r="15" spans="1:6">
      <c r="A15" s="189">
        <v>14</v>
      </c>
      <c r="B15" s="203" t="s">
        <v>160</v>
      </c>
      <c r="C15" s="189" t="s">
        <v>161</v>
      </c>
      <c r="D15" s="187">
        <v>24</v>
      </c>
      <c r="E15">
        <v>30</v>
      </c>
      <c r="F15">
        <f>D15*E15</f>
        <v>720</v>
      </c>
    </row>
    <row r="16" spans="1:6">
      <c r="A16" s="189"/>
      <c r="B16" s="190" t="s">
        <v>162</v>
      </c>
      <c r="C16" s="189" t="s">
        <v>163</v>
      </c>
      <c r="D16" s="187">
        <f>0.2*SUM(D2:D15)</f>
        <v>57.6</v>
      </c>
      <c r="E16">
        <v>30</v>
      </c>
      <c r="F16">
        <f>D16*E16</f>
        <v>1728</v>
      </c>
    </row>
    <row r="17" spans="1:12">
      <c r="A17" s="189"/>
      <c r="B17" s="190" t="s">
        <v>133</v>
      </c>
      <c r="C17" s="189"/>
      <c r="D17" s="188">
        <f>SUM(D2:D16)</f>
        <v>345.6</v>
      </c>
      <c r="E17">
        <v>30</v>
      </c>
      <c r="F17">
        <f>SUM(F2:F16)</f>
        <v>10368</v>
      </c>
    </row>
    <row r="19" spans="1:12">
      <c r="F19" s="191" t="s">
        <v>164</v>
      </c>
    </row>
    <row r="20" spans="1:12" ht="45">
      <c r="F20" s="186" t="s">
        <v>165</v>
      </c>
      <c r="G20" s="186" t="s">
        <v>166</v>
      </c>
      <c r="H20" s="186" t="s">
        <v>167</v>
      </c>
      <c r="I20" s="188" t="s">
        <v>168</v>
      </c>
      <c r="J20" s="188" t="s">
        <v>169</v>
      </c>
      <c r="K20" s="188" t="s">
        <v>170</v>
      </c>
      <c r="L20" s="188" t="s">
        <v>171</v>
      </c>
    </row>
    <row r="21" spans="1:12" ht="30">
      <c r="F21" s="189" t="s">
        <v>172</v>
      </c>
      <c r="G21" s="189" t="s">
        <v>173</v>
      </c>
      <c r="H21" s="189" t="s">
        <v>174</v>
      </c>
      <c r="I21" s="187" t="s">
        <v>175</v>
      </c>
      <c r="J21" s="187" t="s">
        <v>176</v>
      </c>
      <c r="K21" s="192">
        <v>150</v>
      </c>
      <c r="L21">
        <f>K21*0.76</f>
        <v>114</v>
      </c>
    </row>
    <row r="22" spans="1:12">
      <c r="F22" s="189"/>
      <c r="G22" s="189"/>
      <c r="H22" s="189" t="s">
        <v>177</v>
      </c>
      <c r="I22" s="187" t="s">
        <v>178</v>
      </c>
      <c r="J22" s="187" t="s">
        <v>179</v>
      </c>
      <c r="K22" s="192">
        <v>48</v>
      </c>
      <c r="L22">
        <f>K22*0.76</f>
        <v>36.480000000000004</v>
      </c>
    </row>
    <row r="23" spans="1:12" ht="60">
      <c r="F23" s="189" t="s">
        <v>180</v>
      </c>
      <c r="G23" s="189" t="s">
        <v>181</v>
      </c>
      <c r="H23" s="189" t="s">
        <v>182</v>
      </c>
      <c r="I23" s="187" t="s">
        <v>183</v>
      </c>
      <c r="J23" s="187" t="s">
        <v>184</v>
      </c>
      <c r="K23" s="192">
        <v>0</v>
      </c>
      <c r="L23">
        <f>K23*0.76</f>
        <v>0</v>
      </c>
    </row>
    <row r="24" spans="1:12" ht="30">
      <c r="F24" s="189" t="s">
        <v>185</v>
      </c>
      <c r="G24" s="189" t="s">
        <v>186</v>
      </c>
      <c r="H24" s="189" t="s">
        <v>187</v>
      </c>
      <c r="I24" s="187" t="s">
        <v>188</v>
      </c>
      <c r="J24" s="187" t="s">
        <v>189</v>
      </c>
      <c r="K24" s="192">
        <v>0</v>
      </c>
      <c r="L24">
        <f>K24*0.76</f>
        <v>0</v>
      </c>
    </row>
    <row r="25" spans="1:12" ht="45">
      <c r="F25" s="189" t="s">
        <v>190</v>
      </c>
      <c r="G25" s="189" t="s">
        <v>191</v>
      </c>
      <c r="H25" s="189" t="s">
        <v>192</v>
      </c>
      <c r="I25" s="187" t="s">
        <v>193</v>
      </c>
      <c r="J25" s="187" t="s">
        <v>194</v>
      </c>
      <c r="K25" s="194">
        <v>0.06</v>
      </c>
      <c r="L25">
        <f>K25*0.76</f>
        <v>4.5600000000000002E-2</v>
      </c>
    </row>
    <row r="26" spans="1:12" ht="30">
      <c r="F26" s="189" t="s">
        <v>195</v>
      </c>
      <c r="G26" s="189" t="s">
        <v>196</v>
      </c>
      <c r="H26" s="189" t="s">
        <v>197</v>
      </c>
      <c r="I26" s="187" t="s">
        <v>198</v>
      </c>
      <c r="J26" s="187" t="s">
        <v>199</v>
      </c>
      <c r="K26" s="194">
        <v>1.5</v>
      </c>
      <c r="L26">
        <f>K26*0.76</f>
        <v>1.1400000000000001</v>
      </c>
    </row>
    <row r="27" spans="1:12" ht="45">
      <c r="F27" s="189" t="s">
        <v>200</v>
      </c>
      <c r="G27" s="189" t="s">
        <v>201</v>
      </c>
      <c r="H27" s="189" t="s">
        <v>202</v>
      </c>
      <c r="I27" s="187" t="s">
        <v>203</v>
      </c>
      <c r="J27" s="187" t="s">
        <v>204</v>
      </c>
      <c r="K27" s="192">
        <v>10</v>
      </c>
      <c r="L27">
        <f>K27*0.76</f>
        <v>7.6</v>
      </c>
    </row>
    <row r="28" spans="1:12" ht="30">
      <c r="F28" s="189" t="s">
        <v>205</v>
      </c>
      <c r="G28" s="189" t="s">
        <v>206</v>
      </c>
      <c r="H28" s="189" t="s">
        <v>207</v>
      </c>
      <c r="I28" s="187" t="s">
        <v>208</v>
      </c>
      <c r="J28" s="187" t="s">
        <v>209</v>
      </c>
      <c r="K28" s="192">
        <v>0.1</v>
      </c>
      <c r="L28">
        <f>K28*0.76</f>
        <v>7.6000000000000012E-2</v>
      </c>
    </row>
    <row r="29" spans="1:12">
      <c r="F29" s="189" t="s">
        <v>210</v>
      </c>
      <c r="G29" s="189" t="s">
        <v>211</v>
      </c>
      <c r="H29" s="189" t="s">
        <v>212</v>
      </c>
      <c r="I29" s="187" t="s">
        <v>213</v>
      </c>
      <c r="J29" s="187" t="s">
        <v>213</v>
      </c>
      <c r="K29" s="192">
        <v>0</v>
      </c>
      <c r="L29">
        <f>K29*0.76</f>
        <v>0</v>
      </c>
    </row>
    <row r="30" spans="1:12">
      <c r="K30" s="193">
        <f>SUM(K21:K29)</f>
        <v>209.66</v>
      </c>
      <c r="L30">
        <f>SUM(L21:L29)</f>
        <v>159.3416</v>
      </c>
    </row>
    <row r="31" spans="1:12">
      <c r="K31" s="191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0E7E-21A6-4261-9611-AC046D40BAA5}">
  <dimension ref="A1:L31"/>
  <sheetViews>
    <sheetView topLeftCell="A4" zoomScale="85" zoomScaleNormal="85" workbookViewId="0">
      <selection activeCell="D14" sqref="D14"/>
    </sheetView>
  </sheetViews>
  <sheetFormatPr defaultRowHeight="26.25" customHeight="1"/>
  <cols>
    <col min="1" max="1" width="97.140625" customWidth="1"/>
    <col min="2" max="2" width="31.7109375" customWidth="1"/>
    <col min="4" max="4" width="32.7109375" bestFit="1" customWidth="1"/>
    <col min="5" max="5" width="15" customWidth="1"/>
    <col min="6" max="6" width="17.42578125" customWidth="1"/>
    <col min="11" max="11" width="56" bestFit="1" customWidth="1"/>
    <col min="12" max="12" width="27.5703125" customWidth="1"/>
  </cols>
  <sheetData>
    <row r="1" spans="1:12" ht="26.25" customHeight="1">
      <c r="A1" s="177" t="s">
        <v>215</v>
      </c>
      <c r="B1" s="177" t="s">
        <v>216</v>
      </c>
      <c r="D1" s="229" t="s">
        <v>217</v>
      </c>
      <c r="E1" s="229"/>
      <c r="F1" s="229"/>
      <c r="J1" s="195" t="s">
        <v>66</v>
      </c>
    </row>
    <row r="2" spans="1:12" ht="26.25" customHeight="1">
      <c r="A2" s="178" t="s">
        <v>218</v>
      </c>
      <c r="B2" s="182">
        <f>DataHarvesting_CostEstimation!F26</f>
        <v>629.20000000000005</v>
      </c>
      <c r="D2" s="199" t="s">
        <v>219</v>
      </c>
      <c r="E2" s="199">
        <v>0.1</v>
      </c>
      <c r="F2" s="199">
        <f>E2*3000</f>
        <v>300</v>
      </c>
      <c r="J2" s="196" t="s">
        <v>220</v>
      </c>
      <c r="K2" s="196" t="s">
        <v>221</v>
      </c>
      <c r="L2" s="196" t="s">
        <v>222</v>
      </c>
    </row>
    <row r="3" spans="1:12" ht="26.25" customHeight="1">
      <c r="A3" s="178" t="str">
        <f>AIML_COST_SUMMARY!A2</f>
        <v>KIAA Converse Framework – Conversational AI with RAG-based responses, hybrid flows, and contextual retrieval</v>
      </c>
      <c r="B3" s="182">
        <f>AIML_COST_SUMMARY!C2</f>
        <v>10000</v>
      </c>
      <c r="D3" s="199" t="s">
        <v>223</v>
      </c>
      <c r="E3" s="199">
        <v>0.25</v>
      </c>
      <c r="F3" s="199">
        <f>E3*3000</f>
        <v>750</v>
      </c>
      <c r="J3" s="196" t="s">
        <v>224</v>
      </c>
      <c r="K3" s="196" t="s">
        <v>225</v>
      </c>
      <c r="L3" s="196" t="s">
        <v>226</v>
      </c>
    </row>
    <row r="4" spans="1:12" ht="26.25" customHeight="1">
      <c r="A4" s="178" t="str">
        <f>AIML_COST_SUMMARY!A3</f>
        <v>Planning - Customising AIML Framework for current requirement</v>
      </c>
      <c r="B4" s="182">
        <f>AIML_COST_SUMMARY!C3</f>
        <v>3200</v>
      </c>
      <c r="D4" s="199" t="s">
        <v>227</v>
      </c>
      <c r="E4" s="199"/>
      <c r="F4" s="199">
        <v>724</v>
      </c>
      <c r="J4" s="196" t="s">
        <v>228</v>
      </c>
      <c r="K4" s="196" t="s">
        <v>229</v>
      </c>
      <c r="L4" s="196" t="s">
        <v>230</v>
      </c>
    </row>
    <row r="5" spans="1:12" ht="26.25" customHeight="1">
      <c r="A5" s="178" t="str">
        <f>AIML_COST_SUMMARY!A4</f>
        <v>Development - AIML Framework</v>
      </c>
      <c r="B5" s="182">
        <f>AIML_COST_SUMMARY!C4</f>
        <v>4560</v>
      </c>
      <c r="D5" s="230" t="s">
        <v>231</v>
      </c>
      <c r="E5" s="230"/>
      <c r="F5" s="191">
        <f>SUM(F2:F4)</f>
        <v>1774</v>
      </c>
      <c r="J5" s="196" t="s">
        <v>232</v>
      </c>
      <c r="K5" s="196" t="s">
        <v>233</v>
      </c>
      <c r="L5" s="196" t="s">
        <v>234</v>
      </c>
    </row>
    <row r="6" spans="1:12" ht="26.25" customHeight="1">
      <c r="A6" s="178" t="str">
        <f>AIML_COST_SUMMARY!A5</f>
        <v>Integration Effort</v>
      </c>
      <c r="B6" s="182">
        <f>AIML_COST_SUMMARY!C5</f>
        <v>0</v>
      </c>
      <c r="J6" s="196" t="s">
        <v>235</v>
      </c>
      <c r="K6" s="196" t="s">
        <v>236</v>
      </c>
      <c r="L6" s="196" t="s">
        <v>226</v>
      </c>
    </row>
    <row r="7" spans="1:12" ht="26.25" customHeight="1">
      <c r="A7" s="178" t="str">
        <f>AIML_COST_SUMMARY!A6</f>
        <v>Documentation - AIML Framework</v>
      </c>
      <c r="B7" s="182">
        <f>AIML_COST_SUMMARY!C6</f>
        <v>0</v>
      </c>
      <c r="J7" s="196" t="s">
        <v>237</v>
      </c>
      <c r="K7" s="196" t="s">
        <v>238</v>
      </c>
      <c r="L7" s="196" t="s">
        <v>239</v>
      </c>
    </row>
    <row r="8" spans="1:12" ht="26.25" customHeight="1">
      <c r="A8" s="178" t="str">
        <f>AIML_COST_SUMMARY!A7</f>
        <v>Testing - AIML Framework</v>
      </c>
      <c r="B8" s="182">
        <f>AIML_COST_SUMMARY!C7</f>
        <v>1550</v>
      </c>
      <c r="J8" s="196" t="s">
        <v>240</v>
      </c>
      <c r="K8" s="196" t="s">
        <v>241</v>
      </c>
      <c r="L8" s="196" t="s">
        <v>242</v>
      </c>
    </row>
    <row r="9" spans="1:12" ht="26.25" customHeight="1">
      <c r="A9" s="178" t="str">
        <f>AIML_COST_SUMMARY!A8</f>
        <v>PM &amp; Contingency</v>
      </c>
      <c r="B9" s="182">
        <f>AIML_COST_SUMMARY!C8</f>
        <v>2793</v>
      </c>
      <c r="J9" s="196" t="s">
        <v>243</v>
      </c>
      <c r="K9" s="196" t="s">
        <v>244</v>
      </c>
      <c r="L9" s="196" t="s">
        <v>245</v>
      </c>
    </row>
    <row r="10" spans="1:12" ht="26.25" customHeight="1">
      <c r="A10" s="178" t="s">
        <v>246</v>
      </c>
      <c r="B10" s="182">
        <f>'API Integration'!F17</f>
        <v>10368</v>
      </c>
      <c r="J10" s="232" t="s">
        <v>247</v>
      </c>
      <c r="K10" s="233"/>
      <c r="L10" s="198" t="s">
        <v>248</v>
      </c>
    </row>
    <row r="11" spans="1:12" ht="26.25" customHeight="1">
      <c r="A11" s="179" t="s">
        <v>249</v>
      </c>
      <c r="B11" s="183">
        <f>SUM(B2:B10)</f>
        <v>33100.199999999997</v>
      </c>
      <c r="K11" t="s">
        <v>172</v>
      </c>
      <c r="L11" s="198">
        <v>114</v>
      </c>
    </row>
    <row r="12" spans="1:12" ht="26.25" customHeight="1">
      <c r="A12" s="179" t="s">
        <v>250</v>
      </c>
      <c r="B12" s="183">
        <f>SUM(AIML_COST_SUMMARY!C9+DataHarvesting_CostEstimation!E22+'API Integration'!L30)</f>
        <v>724.34159999999997</v>
      </c>
      <c r="L12" s="198">
        <v>36.480000000000004</v>
      </c>
    </row>
    <row r="13" spans="1:12" ht="26.25" customHeight="1">
      <c r="A13" s="180" t="s">
        <v>251</v>
      </c>
      <c r="B13" s="180" t="s">
        <v>251</v>
      </c>
      <c r="K13" t="s">
        <v>180</v>
      </c>
      <c r="L13" s="198">
        <v>0</v>
      </c>
    </row>
    <row r="14" spans="1:12" ht="26.25" customHeight="1">
      <c r="A14" s="181" t="s">
        <v>252</v>
      </c>
      <c r="B14" s="185">
        <f>SUM(B11,B12)</f>
        <v>33824.541599999997</v>
      </c>
      <c r="K14" t="s">
        <v>185</v>
      </c>
      <c r="L14" s="198">
        <v>0</v>
      </c>
    </row>
    <row r="15" spans="1:12" ht="26.25" customHeight="1">
      <c r="K15" t="s">
        <v>190</v>
      </c>
      <c r="L15" s="198">
        <v>4.5600000000000002E-2</v>
      </c>
    </row>
    <row r="16" spans="1:12" ht="26.25" customHeight="1" thickBot="1">
      <c r="A16" s="41" t="s">
        <v>51</v>
      </c>
      <c r="B16" s="41"/>
      <c r="C16" s="41"/>
      <c r="D16" s="41"/>
      <c r="K16" t="s">
        <v>195</v>
      </c>
      <c r="L16" s="198">
        <v>1.1400000000000001</v>
      </c>
    </row>
    <row r="17" spans="1:12" ht="26.25" customHeight="1">
      <c r="A17" s="38" t="s">
        <v>52</v>
      </c>
      <c r="B17" s="38"/>
      <c r="C17" s="38"/>
      <c r="D17" s="39">
        <f>SUM(D18,D22)</f>
        <v>315</v>
      </c>
      <c r="E17" s="224" t="s">
        <v>121</v>
      </c>
      <c r="F17" s="225"/>
      <c r="G17" s="225"/>
      <c r="H17" s="225"/>
      <c r="I17" s="226"/>
      <c r="K17" t="s">
        <v>200</v>
      </c>
      <c r="L17" s="198">
        <v>7.6</v>
      </c>
    </row>
    <row r="18" spans="1:12" ht="26.25" customHeight="1">
      <c r="A18" s="43" t="s">
        <v>53</v>
      </c>
      <c r="B18" s="18"/>
      <c r="C18" s="18"/>
      <c r="D18" s="37">
        <v>180</v>
      </c>
      <c r="E18" s="85">
        <v>1</v>
      </c>
      <c r="F18" s="227" t="s">
        <v>122</v>
      </c>
      <c r="G18" s="227"/>
      <c r="H18" s="227"/>
      <c r="I18" s="228"/>
      <c r="K18" t="s">
        <v>205</v>
      </c>
      <c r="L18" s="198">
        <v>7.6000000000000012E-2</v>
      </c>
    </row>
    <row r="19" spans="1:12" ht="26.25" customHeight="1">
      <c r="A19" s="45" t="s">
        <v>55</v>
      </c>
      <c r="B19" s="18"/>
      <c r="C19" s="18"/>
      <c r="D19" s="18"/>
      <c r="E19" s="85">
        <v>2</v>
      </c>
      <c r="F19" s="227" t="s">
        <v>123</v>
      </c>
      <c r="G19" s="227"/>
      <c r="H19" s="227"/>
      <c r="I19" s="228"/>
      <c r="K19" t="s">
        <v>210</v>
      </c>
      <c r="L19" s="198">
        <v>0</v>
      </c>
    </row>
    <row r="20" spans="1:12" ht="26.25" customHeight="1">
      <c r="A20" t="s">
        <v>56</v>
      </c>
      <c r="B20" s="18"/>
      <c r="C20" s="18"/>
      <c r="D20" s="47">
        <v>0.06</v>
      </c>
      <c r="E20" s="85">
        <v>3</v>
      </c>
      <c r="F20" s="227" t="s">
        <v>124</v>
      </c>
      <c r="G20" s="227"/>
      <c r="H20" s="227"/>
      <c r="I20" s="228"/>
      <c r="K20" t="s">
        <v>253</v>
      </c>
      <c r="L20" s="198">
        <f>SUM(L11:L19)</f>
        <v>159.3416</v>
      </c>
    </row>
    <row r="21" spans="1:12" ht="26.25" customHeight="1">
      <c r="A21" t="s">
        <v>57</v>
      </c>
      <c r="B21" s="48"/>
      <c r="C21" s="18"/>
      <c r="D21" s="48">
        <f>90*25</f>
        <v>2250</v>
      </c>
      <c r="E21" s="104">
        <v>4</v>
      </c>
      <c r="F21" s="174" t="s">
        <v>125</v>
      </c>
      <c r="G21" s="174" t="s">
        <v>66</v>
      </c>
      <c r="H21" s="174" t="s">
        <v>66</v>
      </c>
      <c r="I21" s="175" t="s">
        <v>66</v>
      </c>
      <c r="K21" t="s">
        <v>254</v>
      </c>
      <c r="L21" s="197">
        <f>565+159</f>
        <v>724</v>
      </c>
    </row>
    <row r="22" spans="1:12" ht="26.25" customHeight="1">
      <c r="A22" s="18" t="s">
        <v>58</v>
      </c>
      <c r="B22" s="18"/>
      <c r="C22" s="18"/>
      <c r="D22" s="20">
        <f>D21*D20</f>
        <v>135</v>
      </c>
    </row>
    <row r="24" spans="1:12" ht="26.25" customHeight="1">
      <c r="A24" s="7" t="s">
        <v>59</v>
      </c>
      <c r="B24" s="7"/>
      <c r="C24" s="7"/>
      <c r="D24" s="7"/>
    </row>
    <row r="25" spans="1:12" ht="26.25" customHeight="1">
      <c r="A25" s="46" t="s">
        <v>60</v>
      </c>
      <c r="B25" s="49"/>
      <c r="C25" s="18"/>
      <c r="D25" s="49">
        <v>0.06</v>
      </c>
    </row>
    <row r="26" spans="1:12" ht="26.25" customHeight="1">
      <c r="A26" t="s">
        <v>57</v>
      </c>
      <c r="B26" s="48"/>
      <c r="C26" s="18"/>
      <c r="D26" s="48">
        <f>90*25</f>
        <v>2250</v>
      </c>
    </row>
    <row r="27" spans="1:12" ht="26.25" customHeight="1">
      <c r="A27" s="18" t="s">
        <v>61</v>
      </c>
      <c r="B27" s="20"/>
      <c r="C27" s="18"/>
      <c r="D27" s="20">
        <f>D26*D25</f>
        <v>135</v>
      </c>
    </row>
    <row r="28" spans="1:12" ht="26.25" customHeight="1">
      <c r="A28" s="50" t="s">
        <v>62</v>
      </c>
      <c r="B28" s="51"/>
      <c r="C28" s="18"/>
      <c r="D28" s="52">
        <f>3000*0.25</f>
        <v>750</v>
      </c>
    </row>
    <row r="29" spans="1:12" ht="26.25" customHeight="1">
      <c r="A29" s="6" t="s">
        <v>53</v>
      </c>
      <c r="B29" s="53"/>
      <c r="C29" s="18"/>
      <c r="D29" s="53">
        <v>170</v>
      </c>
    </row>
    <row r="30" spans="1:12" ht="26.25" customHeight="1">
      <c r="A30" s="6" t="s">
        <v>63</v>
      </c>
      <c r="B30" s="53"/>
      <c r="C30" s="18"/>
      <c r="D30" s="53"/>
    </row>
    <row r="31" spans="1:12" ht="26.25" customHeight="1">
      <c r="A31" s="38" t="s">
        <v>64</v>
      </c>
      <c r="B31" s="39"/>
      <c r="C31" s="39"/>
      <c r="D31" s="39">
        <f>SUM(D29,D28,D27)</f>
        <v>1055</v>
      </c>
    </row>
  </sheetData>
  <mergeCells count="7">
    <mergeCell ref="F20:I20"/>
    <mergeCell ref="E17:I17"/>
    <mergeCell ref="J10:K10"/>
    <mergeCell ref="D1:F1"/>
    <mergeCell ref="D5:E5"/>
    <mergeCell ref="F18:I18"/>
    <mergeCell ref="F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967E-9A55-48A6-8563-DEC776894716}">
  <dimension ref="A1:C28"/>
  <sheetViews>
    <sheetView workbookViewId="0">
      <selection activeCell="C6" sqref="C6"/>
    </sheetView>
  </sheetViews>
  <sheetFormatPr defaultColWidth="9" defaultRowHeight="15"/>
  <cols>
    <col min="1" max="1" width="74.85546875" style="3" customWidth="1"/>
    <col min="2" max="2" width="27.7109375" style="3" customWidth="1"/>
    <col min="3" max="16384" width="9" style="3"/>
  </cols>
  <sheetData>
    <row r="1" spans="1:3" ht="15.75" thickBot="1">
      <c r="A1" s="61"/>
      <c r="B1" s="62" t="s">
        <v>255</v>
      </c>
    </row>
    <row r="2" spans="1:3" ht="18" thickBot="1">
      <c r="A2" s="63" t="s">
        <v>256</v>
      </c>
      <c r="B2" s="64"/>
    </row>
    <row r="3" spans="1:3" ht="15.75" thickBot="1">
      <c r="A3" s="65" t="s">
        <v>257</v>
      </c>
      <c r="B3" s="64"/>
    </row>
    <row r="4" spans="1:3" ht="15.75" thickBot="1">
      <c r="A4" s="66" t="s">
        <v>258</v>
      </c>
      <c r="B4" s="67" t="s">
        <v>259</v>
      </c>
    </row>
    <row r="5" spans="1:3" ht="15.75" thickBot="1">
      <c r="A5" s="68" t="s">
        <v>260</v>
      </c>
      <c r="B5" s="69" t="s">
        <v>261</v>
      </c>
      <c r="C5" s="3">
        <f>AIML_COST_SUMMARY!C10</f>
        <v>22418</v>
      </c>
    </row>
    <row r="6" spans="1:3" ht="15.75" thickBot="1">
      <c r="A6" s="68" t="s">
        <v>262</v>
      </c>
      <c r="B6" s="69" t="s">
        <v>263</v>
      </c>
    </row>
    <row r="7" spans="1:3" ht="29.25" thickBot="1">
      <c r="A7" s="68" t="s">
        <v>264</v>
      </c>
      <c r="B7" s="69" t="s">
        <v>265</v>
      </c>
    </row>
    <row r="8" spans="1:3" ht="29.25" thickBot="1">
      <c r="A8" s="68" t="s">
        <v>266</v>
      </c>
      <c r="B8" s="69" t="s">
        <v>267</v>
      </c>
    </row>
    <row r="9" spans="1:3" ht="15.75" thickBot="1">
      <c r="A9" s="68" t="s">
        <v>268</v>
      </c>
      <c r="B9" s="69" t="s">
        <v>269</v>
      </c>
    </row>
    <row r="10" spans="1:3" ht="15.75" thickBot="1">
      <c r="A10" s="70" t="s">
        <v>270</v>
      </c>
      <c r="B10" s="71" t="s">
        <v>271</v>
      </c>
    </row>
    <row r="11" spans="1:3" ht="18" thickBot="1">
      <c r="A11" s="63" t="s">
        <v>272</v>
      </c>
      <c r="B11" s="64"/>
    </row>
    <row r="12" spans="1:3" ht="15.75" thickBot="1">
      <c r="A12" s="65" t="s">
        <v>273</v>
      </c>
      <c r="B12" s="64"/>
    </row>
    <row r="13" spans="1:3" ht="15.75" thickBot="1">
      <c r="A13" s="66" t="s">
        <v>258</v>
      </c>
      <c r="B13" s="67" t="s">
        <v>259</v>
      </c>
    </row>
    <row r="14" spans="1:3" ht="15.75" thickBot="1">
      <c r="A14" s="68" t="s">
        <v>274</v>
      </c>
      <c r="B14" s="69" t="s">
        <v>275</v>
      </c>
    </row>
    <row r="15" spans="1:3" ht="15.75" thickBot="1">
      <c r="A15" s="68" t="s">
        <v>276</v>
      </c>
      <c r="B15" s="69" t="s">
        <v>277</v>
      </c>
    </row>
    <row r="16" spans="1:3" ht="15.75" thickBot="1">
      <c r="A16" s="70" t="s">
        <v>278</v>
      </c>
      <c r="B16" s="71" t="s">
        <v>279</v>
      </c>
    </row>
    <row r="17" spans="1:2" ht="18" thickBot="1">
      <c r="A17" s="63" t="s">
        <v>280</v>
      </c>
      <c r="B17" s="64"/>
    </row>
    <row r="18" spans="1:2" ht="15.75" thickBot="1">
      <c r="A18" s="65" t="s">
        <v>281</v>
      </c>
      <c r="B18" s="64"/>
    </row>
    <row r="19" spans="1:2" ht="30.75" thickBot="1">
      <c r="A19" s="66" t="s">
        <v>282</v>
      </c>
      <c r="B19" s="67" t="s">
        <v>283</v>
      </c>
    </row>
    <row r="20" spans="1:2" ht="15.75" thickBot="1">
      <c r="A20" s="68" t="s">
        <v>284</v>
      </c>
      <c r="B20" s="69" t="s">
        <v>285</v>
      </c>
    </row>
    <row r="21" spans="1:2" ht="15.75" thickBot="1">
      <c r="A21" s="68" t="s">
        <v>286</v>
      </c>
      <c r="B21" s="69" t="s">
        <v>287</v>
      </c>
    </row>
    <row r="22" spans="1:2" ht="18" thickBot="1">
      <c r="A22" s="63" t="s">
        <v>288</v>
      </c>
      <c r="B22" s="64"/>
    </row>
    <row r="23" spans="1:2" ht="15.75" thickBot="1">
      <c r="A23" s="65" t="s">
        <v>289</v>
      </c>
      <c r="B23" s="64"/>
    </row>
    <row r="24" spans="1:2" ht="15.75" thickBot="1">
      <c r="A24" s="66" t="s">
        <v>290</v>
      </c>
      <c r="B24" s="67" t="s">
        <v>291</v>
      </c>
    </row>
    <row r="25" spans="1:2" ht="15.75" thickBot="1">
      <c r="A25" s="68" t="s">
        <v>270</v>
      </c>
      <c r="B25" s="69" t="s">
        <v>271</v>
      </c>
    </row>
    <row r="26" spans="1:2" ht="15.75" thickBot="1">
      <c r="A26" s="68" t="s">
        <v>278</v>
      </c>
      <c r="B26" s="69" t="s">
        <v>279</v>
      </c>
    </row>
    <row r="27" spans="1:2" ht="15.75" thickBot="1">
      <c r="A27" s="68" t="s">
        <v>292</v>
      </c>
      <c r="B27" s="69" t="s">
        <v>293</v>
      </c>
    </row>
    <row r="28" spans="1:2" ht="15.75" thickBot="1">
      <c r="A28" s="68" t="s">
        <v>294</v>
      </c>
      <c r="B28" s="69" t="s">
        <v>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6515-4004-4BC2-9E6C-1B8713235CDD}">
  <dimension ref="A1:I20"/>
  <sheetViews>
    <sheetView zoomScale="130" zoomScaleNormal="130" workbookViewId="0">
      <selection activeCell="C13" sqref="C13"/>
    </sheetView>
  </sheetViews>
  <sheetFormatPr defaultRowHeight="15"/>
  <cols>
    <col min="1" max="1" width="16.7109375" bestFit="1" customWidth="1"/>
    <col min="8" max="8" width="14.7109375" bestFit="1" customWidth="1"/>
  </cols>
  <sheetData>
    <row r="1" spans="1:9">
      <c r="B1" t="s">
        <v>73</v>
      </c>
      <c r="C1" t="s">
        <v>74</v>
      </c>
      <c r="D1" t="s">
        <v>75</v>
      </c>
      <c r="H1" t="s">
        <v>296</v>
      </c>
      <c r="I1" t="s">
        <v>297</v>
      </c>
    </row>
    <row r="2" spans="1:9">
      <c r="A2" t="s">
        <v>78</v>
      </c>
      <c r="B2" s="8">
        <v>25</v>
      </c>
      <c r="C2" s="8">
        <v>30</v>
      </c>
      <c r="D2" s="8">
        <v>25</v>
      </c>
      <c r="H2" t="s">
        <v>298</v>
      </c>
      <c r="I2" s="9">
        <v>0.1</v>
      </c>
    </row>
    <row r="3" spans="1:9">
      <c r="A3" t="s">
        <v>299</v>
      </c>
      <c r="C3" s="8">
        <v>22</v>
      </c>
      <c r="H3" t="s">
        <v>300</v>
      </c>
      <c r="I3" s="9">
        <v>0.05</v>
      </c>
    </row>
    <row r="4" spans="1:9">
      <c r="H4" t="s">
        <v>301</v>
      </c>
      <c r="I4" s="9">
        <v>0.05</v>
      </c>
    </row>
    <row r="5" spans="1:9">
      <c r="H5" t="s">
        <v>302</v>
      </c>
      <c r="I5" s="9">
        <v>0.1</v>
      </c>
    </row>
    <row r="6" spans="1:9">
      <c r="B6" t="s">
        <v>73</v>
      </c>
      <c r="C6" t="s">
        <v>74</v>
      </c>
    </row>
    <row r="7" spans="1:9" ht="30">
      <c r="A7" s="10" t="s">
        <v>303</v>
      </c>
      <c r="B7">
        <v>0</v>
      </c>
      <c r="C7">
        <v>0</v>
      </c>
    </row>
    <row r="8" spans="1:9">
      <c r="A8" s="11" t="s">
        <v>304</v>
      </c>
      <c r="B8">
        <v>0</v>
      </c>
      <c r="C8">
        <v>0</v>
      </c>
    </row>
    <row r="9" spans="1:9">
      <c r="A9" t="s">
        <v>305</v>
      </c>
      <c r="B9">
        <v>0.2</v>
      </c>
      <c r="C9">
        <v>0.2</v>
      </c>
    </row>
    <row r="10" spans="1:9">
      <c r="A10" t="s">
        <v>306</v>
      </c>
      <c r="B10">
        <v>0.25</v>
      </c>
      <c r="C10">
        <v>0.25</v>
      </c>
    </row>
    <row r="11" spans="1:9">
      <c r="A11" t="s">
        <v>307</v>
      </c>
      <c r="B11">
        <v>0.2</v>
      </c>
      <c r="C11">
        <v>0.2</v>
      </c>
    </row>
    <row r="13" spans="1:9">
      <c r="A13" t="s">
        <v>308</v>
      </c>
      <c r="B13">
        <v>0</v>
      </c>
      <c r="C13">
        <v>0</v>
      </c>
    </row>
    <row r="17" spans="1:4" ht="14.25" customHeight="1">
      <c r="A17" s="231" t="s">
        <v>309</v>
      </c>
      <c r="B17" s="231"/>
      <c r="C17" s="231"/>
      <c r="D17" s="231"/>
    </row>
    <row r="18" spans="1:4">
      <c r="B18" t="s">
        <v>73</v>
      </c>
      <c r="C18" t="s">
        <v>74</v>
      </c>
      <c r="D18" t="s">
        <v>75</v>
      </c>
    </row>
    <row r="19" spans="1:4">
      <c r="A19" t="s">
        <v>78</v>
      </c>
      <c r="B19" s="8">
        <v>22</v>
      </c>
      <c r="C19" s="8">
        <v>22</v>
      </c>
      <c r="D19" s="8">
        <v>22</v>
      </c>
    </row>
    <row r="20" spans="1:4">
      <c r="C20" s="8"/>
    </row>
  </sheetData>
  <mergeCells count="1"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Sowmya  Vivek</dc:creator>
  <cp:keywords/>
  <dc:description/>
  <cp:lastModifiedBy/>
  <cp:revision/>
  <dcterms:created xsi:type="dcterms:W3CDTF">2025-11-07T08:55:57Z</dcterms:created>
  <dcterms:modified xsi:type="dcterms:W3CDTF">2025-11-17T13:17:25Z</dcterms:modified>
  <cp:category/>
  <cp:contentStatus/>
</cp:coreProperties>
</file>