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\Projects\Estimate One\Proposal_and_Estimation\"/>
    </mc:Choice>
  </mc:AlternateContent>
  <xr:revisionPtr revIDLastSave="0" documentId="8_{4D4B0732-8808-4438-AEF3-675E265BB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i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  <c r="I7" i="1"/>
  <c r="I6" i="1"/>
  <c r="I5" i="1"/>
  <c r="I8" i="1"/>
  <c r="I3" i="1"/>
  <c r="I4" i="1"/>
  <c r="I9" i="1" l="1"/>
  <c r="I11" i="1" s="1"/>
</calcChain>
</file>

<file path=xl/sharedStrings.xml><?xml version="1.0" encoding="utf-8"?>
<sst xmlns="http://schemas.openxmlformats.org/spreadsheetml/2006/main" count="112" uniqueCount="108">
  <si>
    <t>Construction Data Extraction - Project Estimation</t>
  </si>
  <si>
    <t>Project Task / Activity Description</t>
  </si>
  <si>
    <t>Effort in Hours</t>
  </si>
  <si>
    <t>Cost per Hour</t>
  </si>
  <si>
    <t>Total Cost</t>
  </si>
  <si>
    <t>Remarks</t>
  </si>
  <si>
    <t>Phase Summary</t>
  </si>
  <si>
    <t>Cost</t>
  </si>
  <si>
    <t>Analysis and Planning</t>
  </si>
  <si>
    <t>Core Extraction Pipeline</t>
  </si>
  <si>
    <t>Automated classification</t>
  </si>
  <si>
    <t>Advanced Features</t>
  </si>
  <si>
    <t>Identify document coverage gaps and flag incomplete projects</t>
  </si>
  <si>
    <t>Quality check before processing</t>
  </si>
  <si>
    <t>Production Features</t>
  </si>
  <si>
    <t>Create extraction priority matrix (which doc types for which metrics)</t>
  </si>
  <si>
    <t>DA→GFA, Arch→Levels</t>
  </si>
  <si>
    <t>Integration and QA</t>
  </si>
  <si>
    <t>Flag low-confidence for review</t>
  </si>
  <si>
    <t>Project Management</t>
  </si>
  <si>
    <t>Infrastructure</t>
  </si>
  <si>
    <t>Development - Core Extraction Pipeline</t>
  </si>
  <si>
    <t>TOTAL</t>
  </si>
  <si>
    <t>Document type classifier using filename patterns and content</t>
  </si>
  <si>
    <t>Cross-document validation and conflict resolution</t>
  </si>
  <si>
    <t>When values differ</t>
  </si>
  <si>
    <t>Levels Extraction (Above &amp; Below Ground)</t>
  </si>
  <si>
    <t>Pattern matching for architectural drawings (LEVEL X, BASEMENT, B1)</t>
  </si>
  <si>
    <t>Fallback extraction from DA Approval documents</t>
  </si>
  <si>
    <t>Secondary source</t>
  </si>
  <si>
    <t>Handle edge cases: Split levels, mezzanines, sub-basements</t>
  </si>
  <si>
    <t>Complex projects</t>
  </si>
  <si>
    <t>Direct text extraction from DA Approval documents</t>
  </si>
  <si>
    <t>Table detection and area schedule parsing</t>
  </si>
  <si>
    <t>Multi-page table continuation handling</t>
  </si>
  <si>
    <t>Tables split across pages</t>
  </si>
  <si>
    <t>Unit normalization (sqm, sqft, hectares)</t>
  </si>
  <si>
    <t>Convert all to sqm</t>
  </si>
  <si>
    <t>GFA term variations (Total Floor Area, NLA, Lettable Area)</t>
  </si>
  <si>
    <t>Different terminology</t>
  </si>
  <si>
    <t>Site Area Extraction</t>
  </si>
  <si>
    <t>Highest reliability</t>
  </si>
  <si>
    <t>Fallback to architectural site plans</t>
  </si>
  <si>
    <t>Parse dimensions from survey plans for calculation</t>
  </si>
  <si>
    <t>When not stated explicitly</t>
  </si>
  <si>
    <t>External Area Calculation</t>
  </si>
  <si>
    <t>Implement formula: External Area = Site Area - GFA</t>
  </si>
  <si>
    <t>Derived metric</t>
  </si>
  <si>
    <t>Validation logic for negative or impossible values</t>
  </si>
  <si>
    <t>Sanity checks</t>
  </si>
  <si>
    <t>Enhanced OCR and Image Processing</t>
  </si>
  <si>
    <t>Implement Docling AI for document understanding</t>
  </si>
  <si>
    <t>RapidOCR integration for text extraction</t>
  </si>
  <si>
    <t>Handle scanned docs</t>
  </si>
  <si>
    <t>Image enhancement: denoising, contrast, deskewing</t>
  </si>
  <si>
    <t>Improve OCR quality</t>
  </si>
  <si>
    <t>Handle low-quality scans and rotated documents</t>
  </si>
  <si>
    <t>Pre-processing</t>
  </si>
  <si>
    <t>LLM Validation (High Impact)</t>
  </si>
  <si>
    <t>Integrate OpenAI GPT-4 or Claude API for GFA extraction</t>
  </si>
  <si>
    <t>Priority 1 - +10% accuracy</t>
  </si>
  <si>
    <t>Fallback strategy</t>
  </si>
  <si>
    <t>GPT-4 Vision API for architectural drawing interpretation</t>
  </si>
  <si>
    <t>Parse visual layouts</t>
  </si>
  <si>
    <t>Cross-validation: LLM checks extracted values for sanity</t>
  </si>
  <si>
    <t>Quality assurance</t>
  </si>
  <si>
    <t>Dimension-Based GFA Calculation</t>
  </si>
  <si>
    <t>Parse dimensions from architectural floor plans</t>
  </si>
  <si>
    <t>Fallback when not stated</t>
  </si>
  <si>
    <t>Scale detection and conversion (1:100, 1:50 scales)</t>
  </si>
  <si>
    <t>Read drawing scales</t>
  </si>
  <si>
    <t>Calculate floor area from parsed dimensions</t>
  </si>
  <si>
    <t>Geometric calculation</t>
  </si>
  <si>
    <t>Handle complex geometries (L-shapes, curved buildings)</t>
  </si>
  <si>
    <t>Advanced cases</t>
  </si>
  <si>
    <t>Document Quality Classification</t>
  </si>
  <si>
    <t>ML model for Easy/Medium/Hard complexity classification</t>
  </si>
  <si>
    <t>Feature extraction: scanned vs digital, image quality, text density</t>
  </si>
  <si>
    <t>Classification inputs</t>
  </si>
  <si>
    <t>Auto-route to appropriate extraction strategy per document</t>
  </si>
  <si>
    <t>Easy→Text, Hard→OCR+LLM</t>
  </si>
  <si>
    <t>Smart Document Filtering</t>
  </si>
  <si>
    <t>Pre-filter equipment specs and irrelevant documents</t>
  </si>
  <si>
    <t>Skip 37% of "Other" docs</t>
  </si>
  <si>
    <t>Flag projects with insufficient documentation before processing</t>
  </si>
  <si>
    <t>Avoid wasted effort</t>
  </si>
  <si>
    <t>Generate document request list for incomplete projects</t>
  </si>
  <si>
    <t>Client communication</t>
  </si>
  <si>
    <t>Human-in-the-Loop Interface</t>
  </si>
  <si>
    <t>Design Streamlit web interface for project upload and review</t>
  </si>
  <si>
    <t>Implement review workflow for flagged values</t>
  </si>
  <si>
    <t>Add manual correction and feedback collection</t>
  </si>
  <si>
    <t>Infrastructure and DevOps</t>
  </si>
  <si>
    <t>TOTAL ESTIMATED COST</t>
  </si>
  <si>
    <t xml:space="preserve">GFA (Gross Floor Area) Extraction </t>
  </si>
  <si>
    <t>Better source</t>
  </si>
  <si>
    <t>Extract from DA Approval (primary source)</t>
  </si>
  <si>
    <t xml:space="preserve">Development - Advanced Features </t>
  </si>
  <si>
    <t>Design prompts for metric extraction</t>
  </si>
  <si>
    <t>Project manger</t>
  </si>
  <si>
    <t>Business Analyst</t>
  </si>
  <si>
    <t>Virtual Machine</t>
  </si>
  <si>
    <t>OpenAI Cost</t>
  </si>
  <si>
    <t>Design confidence  for each of the 4 Deliverables - 
Levels (Above Ground)
Levels (Below Ground)
Gross Floor Area
External Area</t>
  </si>
  <si>
    <t>Multi-Document Processing ( Python/Docling/PDF Readers)</t>
  </si>
  <si>
    <t>Implement multi-PDF reader for projects</t>
  </si>
  <si>
    <t>Analyze the  documents and categorize by complexity (Easy/Medium/Hard) .  
Examples from Samples
Easy- : DA Decision Notice, Project Brief → Direct text extraction
Medium  - Architectural drawings, Approved Plans → OCR + Table detection required
Hard -  Survey Plan → Image enhancement + dimension calculation</t>
  </si>
  <si>
    <t>Document type classification: DA Approval, Architectural, Brief/Report, Other 
Categorizes documents by type:
  - DA Approval (Development Approval)
  - Brief/Report
  - Architectural
  - Construction
  - Other
- Priority-based data aggregation:
  - **GFA**: DA Approval &gt; Brief/Report &gt; Architectural
  - **Site Area**: DA Approval &gt; Architectural &gt; Brief/Report
  - **Levels**: Architectural &gt; DA Approval &gt; Brief/Report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</si>
</sst>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10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b/>
      <sz val="12"/>
      <name val="Calibri"/>
    </font>
    <font>
      <sz val="11"/>
      <color theme="1"/>
      <name val="Calibri"/>
      <scheme val="minor"/>
    </font>
    <font>
      <sz val="10"/>
      <color rgb="FF242424"/>
      <name val="Calibri"/>
      <scheme val="minor"/>
    </font>
    <font>
      <sz val="11"/>
      <color rgb="FF242424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5D9F1"/>
        <bgColor rgb="FFC5D9F1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164" fontId="7" fillId="5" borderId="1" xfId="0" applyNumberFormat="1" applyFont="1" applyFill="1" applyBorder="1" applyAlignment="1">
      <alignment horizontal="center" wrapText="1"/>
    </xf>
    <xf numFmtId="164" fontId="8" fillId="5" borderId="1" xfId="0" applyNumberFormat="1" applyFont="1" applyFill="1" applyBorder="1" applyAlignment="1">
      <alignment horizontal="center" wrapText="1"/>
    </xf>
    <xf numFmtId="164" fontId="9" fillId="6" borderId="1" xfId="0" applyNumberFormat="1" applyFont="1" applyFill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C4" sqref="C4:D5"/>
    </sheetView>
  </sheetViews>
  <sheetFormatPr defaultRowHeight="14.5" x14ac:dyDescent="0.35"/>
  <cols>
    <col min="1" max="1" width="85" customWidth="1"/>
    <col min="2" max="4" width="15" customWidth="1"/>
    <col min="5" max="5" width="30" customWidth="1"/>
    <col min="8" max="8" width="35" customWidth="1"/>
    <col min="9" max="9" width="15" customWidth="1"/>
  </cols>
  <sheetData>
    <row r="1" spans="1:9" ht="18.5" x14ac:dyDescent="0.4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H2" s="1" t="s">
        <v>6</v>
      </c>
      <c r="I2" s="1" t="s">
        <v>7</v>
      </c>
    </row>
    <row r="3" spans="1:9" x14ac:dyDescent="0.35">
      <c r="A3" s="2" t="s">
        <v>8</v>
      </c>
      <c r="H3" s="3" t="s">
        <v>8</v>
      </c>
      <c r="I3" s="3">
        <f>SUM(D4:D8)</f>
        <v>0</v>
      </c>
    </row>
    <row r="4" spans="1:9" ht="87" x14ac:dyDescent="0.35">
      <c r="A4" s="14" t="s">
        <v>106</v>
      </c>
      <c r="B4">
        <v>24</v>
      </c>
      <c r="H4" s="3" t="s">
        <v>9</v>
      </c>
      <c r="I4" s="3">
        <f>SUM(D11:D36)</f>
        <v>0</v>
      </c>
    </row>
    <row r="5" spans="1:9" ht="159.5" x14ac:dyDescent="0.35">
      <c r="A5" s="14" t="s">
        <v>107</v>
      </c>
      <c r="B5">
        <v>16</v>
      </c>
      <c r="E5" t="s">
        <v>10</v>
      </c>
      <c r="H5" s="3" t="s">
        <v>11</v>
      </c>
      <c r="I5" s="3">
        <f>SUM(D39:D58)</f>
        <v>0</v>
      </c>
    </row>
    <row r="6" spans="1:9" x14ac:dyDescent="0.35">
      <c r="A6" t="s">
        <v>12</v>
      </c>
      <c r="B6">
        <v>16</v>
      </c>
      <c r="E6" t="s">
        <v>13</v>
      </c>
      <c r="H6" s="3" t="s">
        <v>14</v>
      </c>
      <c r="I6" s="3">
        <f>SUM(D59:D62)</f>
        <v>0</v>
      </c>
    </row>
    <row r="7" spans="1:9" x14ac:dyDescent="0.35">
      <c r="A7" t="s">
        <v>15</v>
      </c>
      <c r="B7">
        <v>16</v>
      </c>
      <c r="E7" t="s">
        <v>16</v>
      </c>
      <c r="H7" s="3" t="s">
        <v>17</v>
      </c>
      <c r="I7" s="3">
        <f>SUM(D65:D69)</f>
        <v>0</v>
      </c>
    </row>
    <row r="8" spans="1:9" ht="72.5" x14ac:dyDescent="0.35">
      <c r="A8" s="14" t="s">
        <v>103</v>
      </c>
      <c r="B8">
        <v>24</v>
      </c>
      <c r="E8" t="s">
        <v>18</v>
      </c>
      <c r="H8" s="3" t="s">
        <v>19</v>
      </c>
      <c r="I8" s="3">
        <f>SUM(D70:D73)</f>
        <v>1800</v>
      </c>
    </row>
    <row r="9" spans="1:9" x14ac:dyDescent="0.35">
      <c r="H9" s="3" t="s">
        <v>20</v>
      </c>
      <c r="I9" s="3">
        <f>SUM(D76:D81)</f>
        <v>0</v>
      </c>
    </row>
    <row r="10" spans="1:9" x14ac:dyDescent="0.35">
      <c r="A10" s="2" t="s">
        <v>21</v>
      </c>
    </row>
    <row r="11" spans="1:9" ht="15.5" x14ac:dyDescent="0.35">
      <c r="A11" s="3" t="s">
        <v>104</v>
      </c>
      <c r="H11" s="4" t="s">
        <v>22</v>
      </c>
      <c r="I11" s="5">
        <f>SUM(I3:I9)</f>
        <v>1800</v>
      </c>
    </row>
    <row r="12" spans="1:9" x14ac:dyDescent="0.35">
      <c r="A12" t="s">
        <v>105</v>
      </c>
      <c r="B12">
        <v>40</v>
      </c>
    </row>
    <row r="13" spans="1:9" x14ac:dyDescent="0.35">
      <c r="A13" t="s">
        <v>23</v>
      </c>
      <c r="B13">
        <v>32</v>
      </c>
    </row>
    <row r="14" spans="1:9" x14ac:dyDescent="0.35">
      <c r="A14" t="s">
        <v>24</v>
      </c>
      <c r="B14">
        <v>32</v>
      </c>
      <c r="E14" t="s">
        <v>25</v>
      </c>
    </row>
    <row r="15" spans="1:9" x14ac:dyDescent="0.35">
      <c r="A15" s="3" t="s">
        <v>26</v>
      </c>
    </row>
    <row r="16" spans="1:9" x14ac:dyDescent="0.35">
      <c r="A16" t="s">
        <v>27</v>
      </c>
      <c r="B16">
        <v>24</v>
      </c>
    </row>
    <row r="17" spans="1:5" x14ac:dyDescent="0.35">
      <c r="A17" t="s">
        <v>28</v>
      </c>
      <c r="B17">
        <v>16</v>
      </c>
      <c r="E17" t="s">
        <v>29</v>
      </c>
    </row>
    <row r="18" spans="1:5" x14ac:dyDescent="0.35">
      <c r="A18" t="s">
        <v>30</v>
      </c>
      <c r="B18">
        <v>24</v>
      </c>
      <c r="E18" t="s">
        <v>31</v>
      </c>
    </row>
    <row r="19" spans="1:5" x14ac:dyDescent="0.35">
      <c r="A19" s="3" t="s">
        <v>94</v>
      </c>
    </row>
    <row r="20" spans="1:5" x14ac:dyDescent="0.35">
      <c r="A20" t="s">
        <v>32</v>
      </c>
      <c r="B20">
        <v>32</v>
      </c>
      <c r="E20" t="s">
        <v>95</v>
      </c>
    </row>
    <row r="21" spans="1:5" x14ac:dyDescent="0.35">
      <c r="A21" t="s">
        <v>33</v>
      </c>
      <c r="B21">
        <v>64</v>
      </c>
    </row>
    <row r="22" spans="1:5" x14ac:dyDescent="0.35">
      <c r="A22" t="s">
        <v>34</v>
      </c>
      <c r="B22">
        <v>24</v>
      </c>
      <c r="E22" t="s">
        <v>35</v>
      </c>
    </row>
    <row r="23" spans="1:5" x14ac:dyDescent="0.35">
      <c r="A23" t="s">
        <v>36</v>
      </c>
      <c r="B23">
        <v>16</v>
      </c>
      <c r="E23" t="s">
        <v>37</v>
      </c>
    </row>
    <row r="24" spans="1:5" x14ac:dyDescent="0.35">
      <c r="A24" t="s">
        <v>38</v>
      </c>
      <c r="B24">
        <v>24</v>
      </c>
      <c r="E24" t="s">
        <v>39</v>
      </c>
    </row>
    <row r="25" spans="1:5" x14ac:dyDescent="0.35">
      <c r="A25" s="3" t="s">
        <v>40</v>
      </c>
    </row>
    <row r="26" spans="1:5" x14ac:dyDescent="0.35">
      <c r="A26" t="s">
        <v>96</v>
      </c>
      <c r="B26">
        <v>24</v>
      </c>
      <c r="E26" t="s">
        <v>41</v>
      </c>
    </row>
    <row r="27" spans="1:5" x14ac:dyDescent="0.35">
      <c r="A27" t="s">
        <v>42</v>
      </c>
      <c r="B27">
        <v>24</v>
      </c>
      <c r="E27" t="s">
        <v>29</v>
      </c>
    </row>
    <row r="28" spans="1:5" x14ac:dyDescent="0.35">
      <c r="A28" t="s">
        <v>43</v>
      </c>
      <c r="B28">
        <v>32</v>
      </c>
      <c r="E28" t="s">
        <v>44</v>
      </c>
    </row>
    <row r="29" spans="1:5" x14ac:dyDescent="0.35">
      <c r="A29" s="3" t="s">
        <v>45</v>
      </c>
    </row>
    <row r="30" spans="1:5" x14ac:dyDescent="0.35">
      <c r="A30" t="s">
        <v>46</v>
      </c>
      <c r="B30">
        <v>16</v>
      </c>
      <c r="E30" t="s">
        <v>47</v>
      </c>
    </row>
    <row r="31" spans="1:5" x14ac:dyDescent="0.35">
      <c r="A31" t="s">
        <v>48</v>
      </c>
      <c r="B31">
        <v>16</v>
      </c>
      <c r="E31" t="s">
        <v>49</v>
      </c>
    </row>
    <row r="33" spans="1:5" x14ac:dyDescent="0.35">
      <c r="A33" s="2" t="s">
        <v>97</v>
      </c>
    </row>
    <row r="34" spans="1:5" x14ac:dyDescent="0.35">
      <c r="A34" s="3" t="s">
        <v>50</v>
      </c>
    </row>
    <row r="35" spans="1:5" x14ac:dyDescent="0.35">
      <c r="A35" t="s">
        <v>51</v>
      </c>
      <c r="B35">
        <v>40</v>
      </c>
    </row>
    <row r="36" spans="1:5" x14ac:dyDescent="0.35">
      <c r="A36" t="s">
        <v>52</v>
      </c>
      <c r="B36">
        <v>32</v>
      </c>
      <c r="E36" t="s">
        <v>53</v>
      </c>
    </row>
    <row r="37" spans="1:5" x14ac:dyDescent="0.35">
      <c r="A37" t="s">
        <v>54</v>
      </c>
      <c r="B37">
        <v>40</v>
      </c>
      <c r="E37" t="s">
        <v>55</v>
      </c>
    </row>
    <row r="38" spans="1:5" x14ac:dyDescent="0.35">
      <c r="A38" t="s">
        <v>56</v>
      </c>
      <c r="B38">
        <v>32</v>
      </c>
      <c r="E38" t="s">
        <v>57</v>
      </c>
    </row>
    <row r="39" spans="1:5" x14ac:dyDescent="0.35">
      <c r="A39" s="3" t="s">
        <v>58</v>
      </c>
    </row>
    <row r="40" spans="1:5" x14ac:dyDescent="0.35">
      <c r="A40" t="s">
        <v>59</v>
      </c>
      <c r="B40">
        <v>48</v>
      </c>
      <c r="E40" t="s">
        <v>60</v>
      </c>
    </row>
    <row r="41" spans="1:5" x14ac:dyDescent="0.35">
      <c r="A41" t="s">
        <v>98</v>
      </c>
      <c r="B41">
        <v>32</v>
      </c>
      <c r="E41" t="s">
        <v>61</v>
      </c>
    </row>
    <row r="42" spans="1:5" x14ac:dyDescent="0.35">
      <c r="A42" t="s">
        <v>62</v>
      </c>
      <c r="B42">
        <v>48</v>
      </c>
      <c r="E42" t="s">
        <v>63</v>
      </c>
    </row>
    <row r="43" spans="1:5" x14ac:dyDescent="0.35">
      <c r="A43" t="s">
        <v>64</v>
      </c>
      <c r="B43">
        <v>32</v>
      </c>
      <c r="E43" t="s">
        <v>65</v>
      </c>
    </row>
    <row r="45" spans="1:5" x14ac:dyDescent="0.35">
      <c r="A45" s="3" t="s">
        <v>66</v>
      </c>
    </row>
    <row r="46" spans="1:5" x14ac:dyDescent="0.35">
      <c r="A46" t="s">
        <v>67</v>
      </c>
      <c r="B46">
        <v>64</v>
      </c>
      <c r="E46" t="s">
        <v>68</v>
      </c>
    </row>
    <row r="47" spans="1:5" x14ac:dyDescent="0.35">
      <c r="A47" t="s">
        <v>69</v>
      </c>
      <c r="B47">
        <v>40</v>
      </c>
      <c r="E47" t="s">
        <v>70</v>
      </c>
    </row>
    <row r="48" spans="1:5" x14ac:dyDescent="0.35">
      <c r="A48" t="s">
        <v>71</v>
      </c>
      <c r="B48">
        <v>40</v>
      </c>
      <c r="E48" t="s">
        <v>72</v>
      </c>
    </row>
    <row r="49" spans="1:5" x14ac:dyDescent="0.35">
      <c r="A49" t="s">
        <v>73</v>
      </c>
      <c r="B49">
        <v>32</v>
      </c>
      <c r="E49" t="s">
        <v>74</v>
      </c>
    </row>
    <row r="50" spans="1:5" x14ac:dyDescent="0.35">
      <c r="A50" s="3" t="s">
        <v>75</v>
      </c>
    </row>
    <row r="51" spans="1:5" x14ac:dyDescent="0.35">
      <c r="A51" t="s">
        <v>76</v>
      </c>
      <c r="B51">
        <v>56</v>
      </c>
    </row>
    <row r="52" spans="1:5" x14ac:dyDescent="0.35">
      <c r="A52" t="s">
        <v>77</v>
      </c>
      <c r="B52">
        <v>40</v>
      </c>
      <c r="E52" t="s">
        <v>78</v>
      </c>
    </row>
    <row r="53" spans="1:5" x14ac:dyDescent="0.35">
      <c r="A53" t="s">
        <v>79</v>
      </c>
      <c r="B53">
        <v>32</v>
      </c>
      <c r="E53" t="s">
        <v>80</v>
      </c>
    </row>
    <row r="54" spans="1:5" x14ac:dyDescent="0.35">
      <c r="A54" s="3" t="s">
        <v>81</v>
      </c>
    </row>
    <row r="55" spans="1:5" x14ac:dyDescent="0.35">
      <c r="A55" t="s">
        <v>82</v>
      </c>
      <c r="B55">
        <v>32</v>
      </c>
      <c r="E55" t="s">
        <v>83</v>
      </c>
    </row>
    <row r="56" spans="1:5" x14ac:dyDescent="0.35">
      <c r="A56" t="s">
        <v>84</v>
      </c>
      <c r="B56">
        <v>24</v>
      </c>
      <c r="E56" t="s">
        <v>85</v>
      </c>
    </row>
    <row r="57" spans="1:5" x14ac:dyDescent="0.35">
      <c r="A57" t="s">
        <v>86</v>
      </c>
      <c r="B57">
        <v>16</v>
      </c>
      <c r="E57" t="s">
        <v>87</v>
      </c>
    </row>
    <row r="60" spans="1:5" x14ac:dyDescent="0.35">
      <c r="A60" s="2" t="s">
        <v>17</v>
      </c>
    </row>
    <row r="61" spans="1:5" x14ac:dyDescent="0.35">
      <c r="A61" s="3" t="s">
        <v>88</v>
      </c>
    </row>
    <row r="62" spans="1:5" x14ac:dyDescent="0.35">
      <c r="A62" t="s">
        <v>89</v>
      </c>
    </row>
    <row r="63" spans="1:5" x14ac:dyDescent="0.35">
      <c r="A63" t="s">
        <v>90</v>
      </c>
    </row>
    <row r="64" spans="1:5" x14ac:dyDescent="0.35">
      <c r="A64" t="s">
        <v>91</v>
      </c>
    </row>
    <row r="67" spans="1:4" x14ac:dyDescent="0.35">
      <c r="A67" s="2" t="s">
        <v>19</v>
      </c>
    </row>
    <row r="68" spans="1:4" x14ac:dyDescent="0.35">
      <c r="A68" s="8" t="s">
        <v>99</v>
      </c>
      <c r="B68" s="8">
        <v>0</v>
      </c>
    </row>
    <row r="69" spans="1:4" x14ac:dyDescent="0.35">
      <c r="A69" s="8" t="s">
        <v>100</v>
      </c>
      <c r="B69" s="8">
        <v>0</v>
      </c>
    </row>
    <row r="71" spans="1:4" x14ac:dyDescent="0.35">
      <c r="A71" s="2" t="s">
        <v>92</v>
      </c>
    </row>
    <row r="72" spans="1:4" x14ac:dyDescent="0.35">
      <c r="B72" s="9" t="s">
        <v>101</v>
      </c>
      <c r="C72" s="10"/>
      <c r="D72" s="11">
        <v>1000</v>
      </c>
    </row>
    <row r="73" spans="1:4" x14ac:dyDescent="0.35">
      <c r="B73" s="9" t="s">
        <v>102</v>
      </c>
      <c r="C73" s="10"/>
      <c r="D73" s="12">
        <v>800</v>
      </c>
    </row>
    <row r="74" spans="1:4" x14ac:dyDescent="0.35">
      <c r="B74" s="8"/>
      <c r="C74" s="8"/>
      <c r="D74" s="13">
        <f>SUM(D71:D73)</f>
        <v>1800</v>
      </c>
    </row>
    <row r="79" spans="1:4" ht="15.5" x14ac:dyDescent="0.35">
      <c r="A79" s="4" t="s">
        <v>93</v>
      </c>
      <c r="D79" s="5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Thanaseelan</cp:lastModifiedBy>
  <dcterms:created xsi:type="dcterms:W3CDTF">2025-11-20T09:08:31Z</dcterms:created>
  <dcterms:modified xsi:type="dcterms:W3CDTF">2025-11-20T18:19:50Z</dcterms:modified>
</cp:coreProperties>
</file>