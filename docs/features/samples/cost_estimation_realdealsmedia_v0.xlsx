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meritgroupo365-my.sharepoint.com/personal/sowmya_vivek_meritgroup_co_uk/Documents/onedrive_backup/Real_Deals_Media/tagging_PoC/"/>
    </mc:Choice>
  </mc:AlternateContent>
  <xr:revisionPtr revIDLastSave="0" documentId="8_{AD47A865-0E2F-42C2-A2C7-2E43E29A7192}" xr6:coauthVersionLast="47" xr6:coauthVersionMax="47" xr10:uidLastSave="{00000000-0000-0000-0000-000000000000}"/>
  <bookViews>
    <workbookView xWindow="-98" yWindow="-98" windowWidth="21795" windowHeight="12975" firstSheet="10" activeTab="4" xr2:uid="{105AAAC1-9E6B-48F3-8FF1-A5D42B329DBC}"/>
  </bookViews>
  <sheets>
    <sheet name="Line_items_estimate" sheetId="13" state="hidden" r:id="rId1"/>
    <sheet name="Consolidated Cost for Proposal" sheetId="16" r:id="rId2"/>
    <sheet name="AIML_cost" sheetId="1" r:id="rId3"/>
    <sheet name="DataHarvesting_cost" sheetId="15" r:id="rId4"/>
    <sheet name="Infrastructure_Details" sheetId="18" r:id="rId5"/>
    <sheet name="Resource Loading Sheet" sheetId="21" r:id="rId6"/>
    <sheet name="AIML_workflow" sheetId="14" r:id="rId7"/>
    <sheet name="Sources Details" sheetId="17" r:id="rId8"/>
    <sheet name="Call - Queries and Answers" sheetId="19" r:id="rId9"/>
    <sheet name="consolidated_sheet" sheetId="3" state="hidden" r:id="rId10"/>
    <sheet name="lookup" sheetId="2" r:id="rId11"/>
    <sheet name="unit_cost" sheetId="4" r:id="rId12"/>
    <sheet name="Resource Loading" sheetId="20" r:id="rId13"/>
  </sheets>
  <externalReferences>
    <externalReference r:id="rId14"/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5" l="1"/>
  <c r="D41" i="20"/>
  <c r="D42" i="20" s="1"/>
  <c r="D40" i="20"/>
  <c r="E35" i="20"/>
  <c r="E33" i="20"/>
  <c r="E31" i="20"/>
  <c r="E26" i="20"/>
  <c r="D26" i="20"/>
  <c r="E25" i="20"/>
  <c r="D25" i="20"/>
  <c r="E24" i="20"/>
  <c r="E27" i="20" s="1"/>
  <c r="D24" i="20"/>
  <c r="D27" i="20" s="1"/>
  <c r="D19" i="20"/>
  <c r="B7" i="16"/>
  <c r="B4" i="16"/>
  <c r="J6" i="16"/>
  <c r="J8" i="16"/>
  <c r="J5" i="16"/>
  <c r="J3" i="16"/>
  <c r="H15" i="16"/>
  <c r="H16" i="16" s="1"/>
  <c r="H18" i="16" s="1"/>
  <c r="G16" i="16"/>
  <c r="G18" i="16" s="1"/>
  <c r="G15" i="16"/>
  <c r="D29" i="20" l="1"/>
  <c r="E29" i="20" s="1"/>
  <c r="D28" i="20"/>
  <c r="E28" i="20" s="1"/>
  <c r="D32" i="20"/>
  <c r="E32" i="20" s="1"/>
  <c r="K5" i="16"/>
  <c r="K6" i="16"/>
  <c r="K3" i="16"/>
  <c r="K8" i="16"/>
  <c r="L3" i="16"/>
  <c r="L5" i="16"/>
  <c r="B5" i="16" s="1"/>
  <c r="L6" i="16"/>
  <c r="L8" i="16"/>
  <c r="B8" i="16" s="1"/>
  <c r="B6" i="16"/>
  <c r="E34" i="20" l="1"/>
  <c r="E37" i="20" s="1"/>
  <c r="D37" i="20"/>
  <c r="D39" i="20" s="1"/>
  <c r="B3" i="16"/>
  <c r="I39" i="1" l="1"/>
  <c r="I40" i="1" s="1"/>
  <c r="I41" i="1" s="1"/>
  <c r="G13" i="16"/>
  <c r="H13" i="16"/>
  <c r="F55" i="1"/>
  <c r="H5" i="17"/>
  <c r="F33" i="16"/>
  <c r="F34" i="16"/>
  <c r="F35" i="16" s="1"/>
  <c r="C36" i="16"/>
  <c r="F36" i="16"/>
  <c r="F29" i="16"/>
  <c r="F24" i="16" s="1"/>
  <c r="D15" i="15"/>
  <c r="D37" i="17"/>
  <c r="C37" i="17"/>
  <c r="B37" i="17"/>
  <c r="E32" i="17"/>
  <c r="E33" i="17"/>
  <c r="E34" i="17"/>
  <c r="E35" i="17"/>
  <c r="E36" i="17"/>
  <c r="E31" i="17"/>
  <c r="B15" i="16"/>
  <c r="B13" i="16"/>
  <c r="K33" i="1"/>
  <c r="J33" i="1"/>
  <c r="D48" i="15"/>
  <c r="D6" i="15"/>
  <c r="E29" i="15"/>
  <c r="D14" i="18"/>
  <c r="D25" i="17"/>
  <c r="C25" i="17"/>
  <c r="B25" i="17"/>
  <c r="E22" i="17"/>
  <c r="E23" i="17"/>
  <c r="E24" i="17"/>
  <c r="E21" i="17"/>
  <c r="C4" i="17"/>
  <c r="F4" i="17" s="1"/>
  <c r="F5" i="17" s="1"/>
  <c r="C3" i="17"/>
  <c r="F3" i="17" s="1"/>
  <c r="C28" i="15"/>
  <c r="C27" i="15"/>
  <c r="C25" i="15"/>
  <c r="E25" i="15" s="1"/>
  <c r="C24" i="15"/>
  <c r="E24" i="15" s="1"/>
  <c r="C23" i="15"/>
  <c r="E23" i="15" s="1"/>
  <c r="C22" i="15"/>
  <c r="C20" i="15"/>
  <c r="E20" i="15" s="1"/>
  <c r="C15" i="15"/>
  <c r="C10" i="15"/>
  <c r="C6" i="15"/>
  <c r="E6" i="15" s="1"/>
  <c r="B6" i="4"/>
  <c r="D27" i="1"/>
  <c r="D24" i="1"/>
  <c r="J6" i="1" s="1"/>
  <c r="K6" i="1" s="1"/>
  <c r="D14" i="1"/>
  <c r="D4" i="1"/>
  <c r="F53" i="1"/>
  <c r="E22" i="1"/>
  <c r="F22" i="1" s="1"/>
  <c r="E23" i="1"/>
  <c r="F23" i="1"/>
  <c r="E17" i="1"/>
  <c r="F17" i="1" s="1"/>
  <c r="J4" i="1" l="1"/>
  <c r="K4" i="1" s="1"/>
  <c r="E12" i="20"/>
  <c r="F12" i="20" s="1"/>
  <c r="G12" i="20" s="1"/>
  <c r="E11" i="20"/>
  <c r="F11" i="20" s="1"/>
  <c r="G11" i="20" s="1"/>
  <c r="D32" i="1"/>
  <c r="J5" i="1"/>
  <c r="K5" i="1" s="1"/>
  <c r="F39" i="16"/>
  <c r="B11" i="16"/>
  <c r="B17" i="16" s="1"/>
  <c r="D11" i="15"/>
  <c r="E37" i="17"/>
  <c r="E25" i="17"/>
  <c r="D12" i="15" s="1"/>
  <c r="E15" i="15"/>
  <c r="D36" i="1"/>
  <c r="A39" i="1"/>
  <c r="A37" i="1"/>
  <c r="A38" i="1"/>
  <c r="A36" i="1"/>
  <c r="D10" i="15" l="1"/>
  <c r="D22" i="15" s="1"/>
  <c r="D27" i="15" s="1"/>
  <c r="E27" i="15" s="1"/>
  <c r="E22" i="15"/>
  <c r="E10" i="15"/>
  <c r="F48" i="1"/>
  <c r="D38" i="1"/>
  <c r="E13" i="1"/>
  <c r="D13" i="1"/>
  <c r="E33" i="1"/>
  <c r="E32" i="1"/>
  <c r="E29" i="1"/>
  <c r="F29" i="1" s="1"/>
  <c r="E30" i="1"/>
  <c r="F30" i="1" s="1"/>
  <c r="E28" i="1"/>
  <c r="F28" i="1" s="1"/>
  <c r="E26" i="1"/>
  <c r="F26" i="1" s="1"/>
  <c r="E25" i="1"/>
  <c r="F25" i="1" s="1"/>
  <c r="E16" i="1"/>
  <c r="F16" i="1" s="1"/>
  <c r="E18" i="1"/>
  <c r="F18" i="1" s="1"/>
  <c r="E19" i="1"/>
  <c r="F19" i="1" s="1"/>
  <c r="E20" i="1"/>
  <c r="F20" i="1" s="1"/>
  <c r="E21" i="1"/>
  <c r="F21" i="1" s="1"/>
  <c r="E15" i="1"/>
  <c r="F15" i="1" s="1"/>
  <c r="E5" i="1"/>
  <c r="F5" i="1" s="1"/>
  <c r="E52" i="3"/>
  <c r="E62" i="3"/>
  <c r="E9" i="1"/>
  <c r="F9" i="1" s="1"/>
  <c r="E59" i="3"/>
  <c r="E53" i="3"/>
  <c r="E50" i="3"/>
  <c r="E22" i="3"/>
  <c r="E29" i="3" s="1"/>
  <c r="D16" i="3"/>
  <c r="D17" i="3" s="1"/>
  <c r="E17" i="3" s="1"/>
  <c r="E15" i="3"/>
  <c r="E13" i="3"/>
  <c r="E12" i="3"/>
  <c r="D12" i="3"/>
  <c r="E10" i="3"/>
  <c r="E9" i="3"/>
  <c r="E8" i="3"/>
  <c r="E7" i="3"/>
  <c r="E6" i="3"/>
  <c r="E5" i="3"/>
  <c r="D11" i="1"/>
  <c r="F11" i="1" s="1"/>
  <c r="D12" i="1"/>
  <c r="E12" i="1"/>
  <c r="E6" i="1"/>
  <c r="F6" i="1" s="1"/>
  <c r="E7" i="1"/>
  <c r="F7" i="1" s="1"/>
  <c r="E8" i="1"/>
  <c r="F8" i="1" s="1"/>
  <c r="C55" i="1"/>
  <c r="D42" i="3"/>
  <c r="D41" i="3"/>
  <c r="D39" i="3"/>
  <c r="D28" i="15" l="1"/>
  <c r="D30" i="15" s="1"/>
  <c r="F14" i="1"/>
  <c r="F4" i="1"/>
  <c r="E16" i="3"/>
  <c r="E18" i="3" s="1"/>
  <c r="D37" i="1"/>
  <c r="D46" i="3" s="1"/>
  <c r="F13" i="1"/>
  <c r="F12" i="1"/>
  <c r="D10" i="1"/>
  <c r="F52" i="1"/>
  <c r="F43" i="1"/>
  <c r="B2" i="4" s="1"/>
  <c r="D40" i="3"/>
  <c r="E54" i="3"/>
  <c r="E48" i="3" s="1"/>
  <c r="D33" i="1"/>
  <c r="F24" i="1"/>
  <c r="E41" i="3" s="1"/>
  <c r="F27" i="1"/>
  <c r="E42" i="3" s="1"/>
  <c r="F33" i="1" l="1"/>
  <c r="D31" i="1"/>
  <c r="D34" i="1" s="1"/>
  <c r="D39" i="1" s="1"/>
  <c r="E28" i="15"/>
  <c r="E30" i="15" s="1"/>
  <c r="F10" i="1"/>
  <c r="E39" i="3"/>
  <c r="E40" i="3"/>
  <c r="F54" i="1"/>
  <c r="F58" i="1" s="1"/>
  <c r="B3" i="4" s="1"/>
  <c r="B4" i="4" s="1"/>
  <c r="E61" i="3"/>
  <c r="E63" i="3" s="1"/>
  <c r="E66" i="3" s="1"/>
  <c r="D45" i="3"/>
  <c r="F32" i="1"/>
  <c r="F31" i="1" l="1"/>
  <c r="F35" i="1" s="1"/>
  <c r="F37" i="1" s="1"/>
  <c r="D43" i="3"/>
  <c r="E43" i="3" l="1"/>
  <c r="D47" i="3"/>
  <c r="F36" i="1" l="1"/>
  <c r="F38" i="1"/>
  <c r="E46" i="3"/>
  <c r="F39" i="1"/>
  <c r="E47" i="3"/>
  <c r="E55" i="3" s="1"/>
  <c r="F40" i="1" l="1"/>
  <c r="B1" i="4" s="1"/>
  <c r="B5" i="4" s="1"/>
  <c r="E45" i="3"/>
  <c r="B7" i="4" l="1"/>
</calcChain>
</file>

<file path=xl/sharedStrings.xml><?xml version="1.0" encoding="utf-8"?>
<sst xmlns="http://schemas.openxmlformats.org/spreadsheetml/2006/main" count="770" uniqueCount="429">
  <si>
    <t>Stage</t>
  </si>
  <si>
    <t>Task</t>
  </si>
  <si>
    <t>Description</t>
  </si>
  <si>
    <t>Planning</t>
  </si>
  <si>
    <t>Analysis of Input Sources and Schema Alignment</t>
  </si>
  <si>
    <t>Review input types (emails, PDFs, DOCX, HTML pages) and align to the unified Real Deals schema for structured extraction.</t>
  </si>
  <si>
    <t>Evaluation of Parsing Options</t>
  </si>
  <si>
    <r>
      <t xml:space="preserve">Assess extraction options using </t>
    </r>
    <r>
      <rPr>
        <sz val="10"/>
        <color theme="1"/>
        <rFont val="Arial Unicode MS"/>
      </rPr>
      <t>unstructured.io</t>
    </r>
    <r>
      <rPr>
        <sz val="11"/>
        <color theme="1"/>
        <rFont val="Aptos Narrow"/>
        <family val="2"/>
        <scheme val="minor"/>
      </rPr>
      <t>, PDF parsers, and web scrapers for consistent text and metadata capture.</t>
    </r>
  </si>
  <si>
    <t>RAG Pipeline Planning and Architecture</t>
  </si>
  <si>
    <t>Design retrieval-augmented extraction flow – embeddings, retrievers, schema-driven prompts, and output validation layer.</t>
  </si>
  <si>
    <t>Analysis of Editorial Summary Requirements</t>
  </si>
  <si>
    <t>Study article structure and Real Deals writing tone for integration into two-stage summary generation.</t>
  </si>
  <si>
    <t>Confidence Framework &amp; Validation Rules</t>
  </si>
  <si>
    <t>Define confidence scoring logic and schema validation rules (Pydantic + Guardrails AI).</t>
  </si>
  <si>
    <t>Development</t>
  </si>
  <si>
    <t>Setup of Document Pre-processing Pipeline</t>
  </si>
  <si>
    <t>Build pipeline for text extraction, HTML/PDF parsing, cleaning, and markdown conversion.</t>
  </si>
  <si>
    <t>Embedding and Indexing for RAG</t>
  </si>
  <si>
    <t>Create vector embeddings of extracted content and store in FAISS/Chroma with metadata.</t>
  </si>
  <si>
    <t>Schema-Guided RAG Extraction Setup</t>
  </si>
  <si>
    <t>Implement retrieval + prompt-based extraction for all key data fields (Target, Sponsor, Sector, Value, etc.).</t>
  </si>
  <si>
    <t>Prompt Engineering and Schema Validation</t>
  </si>
  <si>
    <t>Develop structured prompts for each field and validate model outputs via Pydantic schema enforcement.</t>
  </si>
  <si>
    <t>Post-processing and Field Normalization</t>
  </si>
  <si>
    <t>Add normalization (currency, region, value range) and enrichment logic.</t>
  </si>
  <si>
    <t>Auto-Summary Template Creation (Stage 1)</t>
  </si>
  <si>
    <t>Implement auto-generated summary layer based on structured data placeholders.</t>
  </si>
  <si>
    <t>Editorial Refinement Model (Stage 2)</t>
  </si>
  <si>
    <t>Develop AI-based editorial polish module to rewrite Stage 1 outputs in Real Deals tone.</t>
  </si>
  <si>
    <t>Integration Setup with CMS &amp; Database</t>
  </si>
  <si>
    <t>Map structured outputs and summaries to Azure SQL + ExpressionEngine CMS via API connector.</t>
  </si>
  <si>
    <t>Evaluation and Fine-tuning of Extraction Accuracy</t>
  </si>
  <si>
    <t>Run iterative validation and prompt tuning to improve per-field extraction confidence.</t>
  </si>
  <si>
    <t>End-to-End Testing &amp; Handover</t>
  </si>
  <si>
    <t>Validate the full flow from input file → structured extraction → polished summary → CMS draft.</t>
  </si>
  <si>
    <t xml:space="preserve">Description </t>
  </si>
  <si>
    <t xml:space="preserve">Cost </t>
  </si>
  <si>
    <t xml:space="preserve">Comments </t>
  </si>
  <si>
    <t xml:space="preserve">Discovery, Analysis and Planning </t>
  </si>
  <si>
    <t>FOC</t>
  </si>
  <si>
    <t>Covered in POC</t>
  </si>
  <si>
    <t>Solution Architect Split</t>
  </si>
  <si>
    <t>Margin Split AI</t>
  </si>
  <si>
    <t>Margin Split Scraping</t>
  </si>
  <si>
    <t>Solution Design and System Set up</t>
  </si>
  <si>
    <t> </t>
  </si>
  <si>
    <t xml:space="preserve">ScrapeX configuration – cXX sources </t>
  </si>
  <si>
    <t>-</t>
  </si>
  <si>
    <t>AI/ML solution using KIAA framework - classifier, semantic de-duping, data mining</t>
  </si>
  <si>
    <t>Solution Testing /QA (Tech)</t>
  </si>
  <si>
    <t>Data Transformation, Logging, Alerts, Reports and Delivery</t>
  </si>
  <si>
    <t xml:space="preserve">Solution Integration and Deployment </t>
  </si>
  <si>
    <t xml:space="preserve">Documentation </t>
  </si>
  <si>
    <t xml:space="preserve">Project Management </t>
  </si>
  <si>
    <t>Total Solution Set Up / Configuration Costs</t>
  </si>
  <si>
    <t>Buffer For Contingencies</t>
  </si>
  <si>
    <t>Infrastructure</t>
  </si>
  <si>
    <t>Solution Architecture</t>
  </si>
  <si>
    <t xml:space="preserve">Total Infra Costs </t>
  </si>
  <si>
    <t>Covered in Appendix IV</t>
  </si>
  <si>
    <t>Total</t>
  </si>
  <si>
    <t>Margin</t>
  </si>
  <si>
    <t xml:space="preserve">Total Cost of Solution Customisation / Configuration </t>
  </si>
  <si>
    <t xml:space="preserve">Using our propieratory product ScrapeX we have saved XX% and by </t>
  </si>
  <si>
    <t>Savings using Merits accelerators</t>
  </si>
  <si>
    <t>Infrastructure + token costs 
( * Approximate one time Set up cost for development but will be charged on actuals)</t>
  </si>
  <si>
    <t>Total Infra cost for initial phase</t>
  </si>
  <si>
    <t>Virtual Machine(Ubuntu) - On-prem --Per Month cost - 1 A6 (4 Cores, 28 GB RAM) x 720 Hours (Pay as you go), Linux,  (Pay as you go); 0 managed disks – S4; Inter Region transfer type, 5 GB outbound data transfer from UK South to East Asia</t>
  </si>
  <si>
    <t>8 Cores, 16 GB RAM, 150 GB Temporary Storage 256 SSD</t>
  </si>
  <si>
    <t>Open AI - token cost</t>
  </si>
  <si>
    <t>Average Token cost  per document (based on current pricing of openAI and the samples provided) - mainly GPT5</t>
  </si>
  <si>
    <t xml:space="preserve"> - 40 *25 days = 1000</t>
  </si>
  <si>
    <t>Overall token cost for PoC</t>
  </si>
  <si>
    <t xml:space="preserve"> BAU - Ongoing Recurring Cost - monthly</t>
  </si>
  <si>
    <t>Average Token cost  per document (based on current pricing of openAI and the samples provided) - Alternate between usage of 4o, o3 and o4-mini based on type of response</t>
  </si>
  <si>
    <t>Projected # of documents per month</t>
  </si>
  <si>
    <t>Overall token costs per month</t>
  </si>
  <si>
    <t>Support and Maintenance  (Tech Resources) - 0.25 FTE ML engineer per month</t>
  </si>
  <si>
    <t>Virtual Machine(Ubuntu) - On-prem</t>
  </si>
  <si>
    <t>Solution running cost</t>
  </si>
  <si>
    <t>A. Customisation and Deployment of Solution  - One off Cost</t>
  </si>
  <si>
    <t>AIML Solution - Document Classification &amp; Information Retrieval</t>
  </si>
  <si>
    <t>Type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</si>
  <si>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</si>
  <si>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</si>
  <si>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</si>
  <si>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</si>
  <si>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</si>
  <si>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</si>
  <si>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</si>
  <si>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</si>
  <si>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hrs_simple</t>
  </si>
  <si>
    <t>hrs_medium</t>
  </si>
  <si>
    <t>hrs</t>
  </si>
  <si>
    <t>Cost per hour</t>
  </si>
  <si>
    <t>total_cost</t>
  </si>
  <si>
    <t>Scraping</t>
  </si>
  <si>
    <t>End to End Scraping</t>
  </si>
  <si>
    <t>Week 1</t>
  </si>
  <si>
    <t>Week 2</t>
  </si>
  <si>
    <t>Week 3</t>
  </si>
  <si>
    <t>Planning - Customising AIML Framework for current requirement</t>
  </si>
  <si>
    <t>AI/ML</t>
  </si>
  <si>
    <t>Development - AIML Framework</t>
  </si>
  <si>
    <t>Week 4</t>
  </si>
  <si>
    <t>Week 5</t>
  </si>
  <si>
    <t>Week 6</t>
  </si>
  <si>
    <t>Integration Effort</t>
  </si>
  <si>
    <t>Week 7</t>
  </si>
  <si>
    <t>Week 8</t>
  </si>
  <si>
    <t>Analysis of Editorial Summary Requirements - Study article structure and Real Deals writing tone for integration into two-stage summary generation.</t>
  </si>
  <si>
    <t>Project Mgmt cost - Planning</t>
  </si>
  <si>
    <t>Solution Architect Effort</t>
  </si>
  <si>
    <t>PM Effort</t>
  </si>
  <si>
    <t>BA Effort</t>
  </si>
  <si>
    <t>Setup of Document Pre-processing Pipeline - Build pipeline for text extraction, HTML/PDF parsing, cleaning, and markdown conversion.</t>
  </si>
  <si>
    <t>Schema-Guided RAG Extraction Setup - Implement retrieval + prompt-based extraction for all key data fields (Target, Sponsor, Sector, Value, etc.).</t>
  </si>
  <si>
    <t>Prompt Engineering and Schema Validation - Develop structured prompts for each field and validate model outputs via Pydantic schema enforcement.</t>
  </si>
  <si>
    <t>Post-processing and Field Normalization - Add normalization (currency, region, value range) and enrichment logic.</t>
  </si>
  <si>
    <t>Auto-Summary Template Creation (Stage 1) - based on structured data placeholders.</t>
  </si>
  <si>
    <t>Editorial Refinement Model (Stage 2) - Develop AI-based editorial polish module to rewrite Stage 1 outputs in Real Deals tone.</t>
  </si>
  <si>
    <t>Azure SQL Database (structured storage for extracted fields)
ExpressionEngine CMS (publishing layer for editorial summaries)</t>
  </si>
  <si>
    <t>Integration testing</t>
  </si>
  <si>
    <t>Documentation - AIML Framework</t>
  </si>
  <si>
    <t xml:space="preserve">Automated Validation Checks </t>
  </si>
  <si>
    <t>Code Standardization</t>
  </si>
  <si>
    <t>Code Documentation</t>
  </si>
  <si>
    <t>Documentation - user manual</t>
  </si>
  <si>
    <t>Testing - AIML Framework</t>
  </si>
  <si>
    <t>Unit testing</t>
  </si>
  <si>
    <t>Data quality </t>
  </si>
  <si>
    <t>Total Production Man Hours</t>
  </si>
  <si>
    <t>Total Cost</t>
  </si>
  <si>
    <t>4 sources</t>
  </si>
  <si>
    <t>Grand Total - One time setup Cost</t>
  </si>
  <si>
    <t>Virtual Machine(Ubuntu) - AMD EPYC 9554 - CPU-8x-32GB</t>
  </si>
  <si>
    <t>Robust Solution Development for Deals Extraction</t>
  </si>
  <si>
    <t>I. Design, Development and Deployment of Solution  - One off Cost</t>
  </si>
  <si>
    <t>S.No</t>
  </si>
  <si>
    <t xml:space="preserve">Project Task / Activity Description </t>
  </si>
  <si>
    <t>Effort in Hours</t>
  </si>
  <si>
    <t>Planning, Design and System Set up </t>
  </si>
  <si>
    <t>Solution Approach (System Architecture and Database Design)</t>
  </si>
  <si>
    <t>Infrastructure Setup</t>
  </si>
  <si>
    <t>Scraper Development/Configuration</t>
  </si>
  <si>
    <t>40 Sources Scraper development</t>
  </si>
  <si>
    <t>Data collection from email subscriptions</t>
  </si>
  <si>
    <t>Open Search(Google OpenSearch limited to first 10 pages to identify relevant base articles or leads)</t>
  </si>
  <si>
    <t>Organisation Details Extraction(Trade or Registered company name, Turnover, Revenue (Profit), Sectors, Region (deal level).)</t>
  </si>
  <si>
    <t>Download and Upload processed files(Raw responses will be stored in Blob storage)</t>
  </si>
  <si>
    <t>Content DeDuping</t>
  </si>
  <si>
    <t>Logging</t>
  </si>
  <si>
    <t>Data Quality &amp; Validation</t>
  </si>
  <si>
    <t>Automated Checks - Data Validation</t>
  </si>
  <si>
    <t>UAT Issue Fixes</t>
  </si>
  <si>
    <t>Integration and Deployment</t>
  </si>
  <si>
    <t>Documentation</t>
  </si>
  <si>
    <t>Project Management</t>
  </si>
  <si>
    <t>Project Management Charges(PM and BAs)</t>
  </si>
  <si>
    <t>Total Estimated Hours</t>
  </si>
  <si>
    <t>Buffer for Contingencies(10%)</t>
  </si>
  <si>
    <t xml:space="preserve">Infrastructure Charges During Set Up </t>
  </si>
  <si>
    <t xml:space="preserve">Total Set Up Costs </t>
  </si>
  <si>
    <r>
      <t>*</t>
    </r>
    <r>
      <rPr>
        <sz val="11"/>
        <color rgb="FF000000"/>
        <rFont val="Aptos Narrow"/>
      </rPr>
      <t xml:space="preserve"> Note :Costs will be impacted if scraper schedule changes to daily/ monthly or any other custom schedule</t>
    </r>
  </si>
  <si>
    <t>BAU - Deals Extraction(*Daily)</t>
  </si>
  <si>
    <t>Infrastructure Details</t>
  </si>
  <si>
    <t>Proxy Services</t>
  </si>
  <si>
    <t>Infrastructire Charges During POC</t>
  </si>
  <si>
    <t>FTE Count</t>
  </si>
  <si>
    <t>Cost(Azure and third party services)</t>
  </si>
  <si>
    <t>Virtual Machine(Ubuntu)</t>
  </si>
  <si>
    <t>Tech Support</t>
  </si>
  <si>
    <t>DataBase</t>
  </si>
  <si>
    <t>Storage</t>
  </si>
  <si>
    <t>Region specific proxies</t>
  </si>
  <si>
    <t>Will be billed on actuals</t>
  </si>
  <si>
    <t>Backup</t>
  </si>
  <si>
    <t>AMD EPYC 9554 - CPU-4x-16GB</t>
  </si>
  <si>
    <t>Serper(Open Search)</t>
  </si>
  <si>
    <t>D Series, 4 vCore, £0.2955/hour</t>
  </si>
  <si>
    <t>Subscription cost</t>
  </si>
  <si>
    <t>Total Monthly Cost</t>
  </si>
  <si>
    <t>Robust Solution Development for Finding Land Purchase deals(Datacenters)</t>
  </si>
  <si>
    <t>AI/ML Infra</t>
  </si>
  <si>
    <t>GPU Machine</t>
  </si>
  <si>
    <t>Open AI Key</t>
  </si>
  <si>
    <t>Days</t>
  </si>
  <si>
    <t>Weeks</t>
  </si>
  <si>
    <t>Web &amp; Document Collection</t>
  </si>
  <si>
    <t>Automatically capture deal announcements, press releases, and updates from company websites, investor pages, and emails.</t>
  </si>
  <si>
    <r>
      <t xml:space="preserve">Support multiple formats such as </t>
    </r>
    <r>
      <rPr>
        <sz val="10"/>
        <color theme="1"/>
        <rFont val="Arial Unicode MS"/>
      </rPr>
      <t>.eml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.pdf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.docx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.html</t>
    </r>
    <r>
      <rPr>
        <sz val="11"/>
        <color theme="1"/>
        <rFont val="Aptos Narrow"/>
        <family val="2"/>
        <scheme val="minor"/>
      </rPr>
      <t>.</t>
    </r>
  </si>
  <si>
    <t>Record key source metadata (URL, publication date, document type) for tracking and auditability.</t>
  </si>
  <si>
    <t>Content Parsing &amp; Structuring</t>
  </si>
  <si>
    <t>Extract readable text from varied file types using automated parsing tools.</t>
  </si>
  <si>
    <t>Clean and organize content to remove non-informative sections like disclaimers, footers, and hyperlinks.</t>
  </si>
  <si>
    <t>Segment text into logical sections (e.g., company background, deal rationale, financials) to improve AI accuracy.</t>
  </si>
  <si>
    <t>AI-Powered Data Extraction</t>
  </si>
  <si>
    <t>Apply a Retrieval-Augmented Generation (RAG) pipeline aligned to a pre-defined schema.</t>
  </si>
  <si>
    <t>Automatically identify and extract key entities (e.g., Target, Sponsor, Fund, Seller) and financial data (Deal Value, Turnover, Profit).</t>
  </si>
  <si>
    <t>Generate structured JSON output with confidence scores for each extracted field.</t>
  </si>
  <si>
    <t>Validation &amp; Taxonomy Alignment</t>
  </si>
  <si>
    <t>Match extracted entities against Real Deals’ controlled vocabularies/picklist values for Sector, Sub-Sector, Region, and Deal Type.</t>
  </si>
  <si>
    <t>Standardize numeric values, currency formats, and naming conventions.</t>
  </si>
  <si>
    <t>Flag low-confidence data for editorial review and prevent duplicates through automated checks.</t>
  </si>
  <si>
    <t>Summarization &amp; Content Generation</t>
  </si>
  <si>
    <r>
      <t>Stage 1 – Auto Summary:</t>
    </r>
    <r>
      <rPr>
        <sz val="11"/>
        <color theme="1"/>
        <rFont val="Aptos Narrow"/>
        <family val="2"/>
        <scheme val="minor"/>
      </rPr>
      <t xml:space="preserve"> Create a first-level summary by filling a predefined deal template using extracted fields.</t>
    </r>
  </si>
  <si>
    <r>
      <t>Stage 2 – Editorial Summary:</t>
    </r>
    <r>
      <rPr>
        <sz val="11"/>
        <color theme="1"/>
        <rFont val="Aptos Narrow"/>
        <family val="2"/>
        <scheme val="minor"/>
      </rPr>
      <t xml:space="preserve"> Refine the draft into a polished article that matches Real Deals’ editorial tone using advanced LLM models (GPT-4o / GPT-5).</t>
    </r>
  </si>
  <si>
    <t>Integration &amp; Publishing</t>
  </si>
  <si>
    <r>
      <t xml:space="preserve">Push validated structured data into </t>
    </r>
    <r>
      <rPr>
        <b/>
        <sz val="11"/>
        <color theme="1"/>
        <rFont val="Aptos Narrow"/>
        <family val="2"/>
        <scheme val="minor"/>
      </rPr>
      <t>Azure SQL</t>
    </r>
    <r>
      <rPr>
        <sz val="11"/>
        <color theme="1"/>
        <rFont val="Aptos Narrow"/>
        <family val="2"/>
        <scheme val="minor"/>
      </rPr>
      <t xml:space="preserve"> for long-term storage, analytics, and dashboards.</t>
    </r>
  </si>
  <si>
    <r>
      <t xml:space="preserve">Automatically upload deal summaries into </t>
    </r>
    <r>
      <rPr>
        <b/>
        <sz val="11"/>
        <color theme="1"/>
        <rFont val="Aptos Narrow"/>
        <family val="2"/>
        <scheme val="minor"/>
      </rPr>
      <t>ExpressionEngine CMS</t>
    </r>
    <r>
      <rPr>
        <sz val="11"/>
        <color theme="1"/>
        <rFont val="Aptos Narrow"/>
        <family val="2"/>
        <scheme val="minor"/>
      </rPr>
      <t xml:space="preserve"> as draft articles for editorial review and publication.</t>
    </r>
  </si>
  <si>
    <t>Maintain an audit log of processed documents, extracted data, and system confidence levels.</t>
  </si>
  <si>
    <t>Total Sources(Assumption)</t>
  </si>
  <si>
    <t>Category</t>
  </si>
  <si>
    <t>Approx. % of Sources</t>
  </si>
  <si>
    <t>Approx. Count (out of 2000)</t>
  </si>
  <si>
    <t>Scraping Approach</t>
  </si>
  <si>
    <t>Hours Required(for each website)</t>
  </si>
  <si>
    <t>Total Hours Required</t>
  </si>
  <si>
    <t>Common Framework (Press releases, News Rooms, Third party news sources and org press and news releases)</t>
  </si>
  <si>
    <t>Generic crawler framework (Scrapy + Playwright + article/PDF/text extractor + NLP for facts)</t>
  </si>
  <si>
    <t>Custom Scrapers</t>
  </si>
  <si>
    <t>Site-specific scrapers, form-handling, OCR for PDFs, multilingual pipelines
OCR (Donut/Tesseract) + translation dictionaries/models</t>
  </si>
  <si>
    <t>Gmail Email Reading &amp; Attachment Download(for Free Official API)</t>
  </si>
  <si>
    <t>Task Description</t>
  </si>
  <si>
    <t>Analysis (In hours)</t>
  </si>
  <si>
    <t>Development (In hours)</t>
  </si>
  <si>
    <t>Testing (In hours)</t>
  </si>
  <si>
    <t>Total Efforts (In Hours)</t>
  </si>
  <si>
    <t>Requirement understanding &amp; API feasibility for Gmail</t>
  </si>
  <si>
    <t>Implement Gmail API integration to read emails &amp; download attachments</t>
  </si>
  <si>
    <t>Logging, reporting, and storage setup for downloaded attachments</t>
  </si>
  <si>
    <t>End-to-end testing &amp; documentation</t>
  </si>
  <si>
    <t>Outlook (Microsoft Graph) Email Reading &amp; Attachment Download(for Free Official API)</t>
  </si>
  <si>
    <t>Requirement understanding &amp; API feasibility for Outlook</t>
  </si>
  <si>
    <t>Implement Outlook (Microsoft Graph API) integration to read emails &amp; download attachments</t>
  </si>
  <si>
    <t>Data ingested into CMS via API(endpoints, authentication, payload, error handling)</t>
  </si>
  <si>
    <t>Requirement understanding &amp; API documentation review</t>
  </si>
  <si>
    <t>Data mapping &amp; validation logic</t>
  </si>
  <si>
    <t>CMS API integration &amp; batch processing</t>
  </si>
  <si>
    <t>Error handling &amp; retry mechanism</t>
  </si>
  <si>
    <t>Deployment setup (Docker &amp; CI/CD)</t>
  </si>
  <si>
    <t>TOTAL</t>
  </si>
  <si>
    <t>Section / Topic</t>
  </si>
  <si>
    <t>Discussion Summary</t>
  </si>
  <si>
    <t>Clarifications / Actions</t>
  </si>
  <si>
    <t>Next Steps / Notes</t>
  </si>
  <si>
    <t>Missing Seller Fields</t>
  </si>
  <si>
    <t>Some Seller fields in sample data are blank.</t>
  </si>
  <si>
    <t>Seller Name (Free Text) captured only if Seller is a financial sponsor (from Organization table). Not captured for private companies. If Seller + Parent Company exist, Seller Type and Organization always covered.</t>
  </si>
  <si>
    <t>Document in data validation logic how missing Seller information should be handled.</t>
  </si>
  <si>
    <t>External Validation (Company / Deal Data)</t>
  </si>
  <si>
    <t>Discussion on validating data with external corporate data sources.</t>
  </si>
  <si>
    <t>Additional fields to include: Organization information, Turnover, Revenue (Profit), Sectors, Region (deal level).</t>
  </si>
  <si>
    <t>Data Enrichment via Open Web</t>
  </si>
  <si>
    <t>Question on using open web (Google Search) to fill missing structured fields.</t>
  </si>
  <si>
    <t>Permitted practice – team uses Google Search to fill in missing fields where applicable.</t>
  </si>
  <si>
    <t>Define a confidence scoring or tagging mechanism for data enriched via open web.</t>
  </si>
  <si>
    <t>Deal Coverage Scope</t>
  </si>
  <si>
    <t>Clarified if deals are region or domain-specific.</t>
  </si>
  <si>
    <t>All deals covered – no filters by region or sector. Region-specific sources available for France and Spain etc</t>
  </si>
  <si>
    <t>Ensure schema and pipeline support multilingual and region-specific formats.</t>
  </si>
  <si>
    <t>Financial Data Sources</t>
  </si>
  <si>
    <t>Financial / filing data sources by country.</t>
  </si>
  <si>
    <t>For UK: Companies House used as the main source.</t>
  </si>
  <si>
    <t>Identify equivalent regulatory data sources for other regions (EU, US, APAC).</t>
  </si>
  <si>
    <t>Regional and Sectoral Prioritization</t>
  </si>
  <si>
    <t>Discussion on granularity level for geography.</t>
  </si>
  <si>
    <t>Region → Country → Sub-region (State / County). Team will share this mapping.</t>
  </si>
  <si>
    <t>Await region &amp; sub-region mapping document for integration into metadata standards.</t>
  </si>
  <si>
    <t>CMS Ingestion Process</t>
  </si>
  <si>
    <t>Understanding current ingestion workflow.</t>
  </si>
  <si>
    <t>Data ingested into CMS via API (no CSV/manual upload). Requires structured payload as per schema.</t>
  </si>
  <si>
    <t>Obtain API documentation (endpoints, authentication, payload, error handling).</t>
  </si>
  <si>
    <t xml:space="preserve">Scraping Solution Development </t>
  </si>
  <si>
    <t>I.1</t>
  </si>
  <si>
    <t xml:space="preserve">I.1.a </t>
  </si>
  <si>
    <t>Source Configuration</t>
  </si>
  <si>
    <t>I.1.b</t>
  </si>
  <si>
    <t>Data Transformation(Cleansing and Formatting)</t>
  </si>
  <si>
    <t>I.1.c</t>
  </si>
  <si>
    <t>Downloader Script</t>
  </si>
  <si>
    <t>I.1.d</t>
  </si>
  <si>
    <t>System and DB Design</t>
  </si>
  <si>
    <t>I.1.e</t>
  </si>
  <si>
    <t>UAT Support</t>
  </si>
  <si>
    <t>I.1.f</t>
  </si>
  <si>
    <t xml:space="preserve">I.2 </t>
  </si>
  <si>
    <t>I.2.a</t>
  </si>
  <si>
    <t>I.2.b</t>
  </si>
  <si>
    <t>I.3</t>
  </si>
  <si>
    <t xml:space="preserve">Infrastructire Charges During Set Up </t>
  </si>
  <si>
    <t>1.3.a</t>
  </si>
  <si>
    <t>To be paid on actuals</t>
  </si>
  <si>
    <t xml:space="preserve">Approximately </t>
  </si>
  <si>
    <t xml:space="preserve">Buffer for Contingencies </t>
  </si>
  <si>
    <r>
      <t xml:space="preserve">II. BAU - Ongoing Recurring Cost (Scrpaers Run Weekly </t>
    </r>
    <r>
      <rPr>
        <b/>
        <sz val="11"/>
        <color rgb="FFFF0000"/>
        <rFont val="Aptos Narrow"/>
        <family val="2"/>
      </rPr>
      <t>*</t>
    </r>
    <r>
      <rPr>
        <b/>
        <sz val="11"/>
        <color rgb="FFFFFFFF"/>
        <rFont val="Aptos Narrow"/>
        <family val="2"/>
      </rPr>
      <t xml:space="preserve">) - Monthly Charges </t>
    </r>
  </si>
  <si>
    <t>II.1</t>
  </si>
  <si>
    <t>Support and Maintenance Resources</t>
  </si>
  <si>
    <t>FTE(Quantity)</t>
  </si>
  <si>
    <t>Cost</t>
  </si>
  <si>
    <t>II.1.a</t>
  </si>
  <si>
    <t>Support and Maintenance  (Tech Resources)</t>
  </si>
  <si>
    <t>Infrastructire Charges During BAU</t>
  </si>
  <si>
    <t>II.2.a</t>
  </si>
  <si>
    <t>Proxies for Scraping(15 Ips)</t>
  </si>
  <si>
    <t>II.2.b</t>
  </si>
  <si>
    <t>II.2.c</t>
  </si>
  <si>
    <t>MySQL</t>
  </si>
  <si>
    <t>II.2.d</t>
  </si>
  <si>
    <t>Document Storage</t>
  </si>
  <si>
    <t>II.2.e</t>
  </si>
  <si>
    <t>Back-up</t>
  </si>
  <si>
    <r>
      <t>*</t>
    </r>
    <r>
      <rPr>
        <sz val="11"/>
        <color rgb="FF000000"/>
        <rFont val="Aptos Narrow"/>
        <family val="2"/>
      </rPr>
      <t xml:space="preserve"> Note :Costs will be impacted if scraper schedule changes to daily/ monthly or any other custom schedule </t>
    </r>
  </si>
  <si>
    <t xml:space="preserve">ML Solution Development </t>
  </si>
  <si>
    <t xml:space="preserve">Planning - AIML Framework </t>
  </si>
  <si>
    <t>Contingency @ 10%</t>
  </si>
  <si>
    <t>1.2.a</t>
  </si>
  <si>
    <t>ML Infrastructure </t>
  </si>
  <si>
    <t>Virtual Machine(Ubuntu) - On-prem --Per Month cost</t>
  </si>
  <si>
    <t>1.2.b</t>
  </si>
  <si>
    <t>Open AI - GPT 4o mini model consumption</t>
  </si>
  <si>
    <t>Average Token cost  per document (based on current pricing of GPT 4o mini and the samples provided)</t>
  </si>
  <si>
    <t># of URLs</t>
  </si>
  <si>
    <t>Overall token cost for initial phase</t>
  </si>
  <si>
    <t xml:space="preserve">II. BAU - Ongoing Recurring Cost - Monthly Charges </t>
  </si>
  <si>
    <t>II.1.a.</t>
  </si>
  <si>
    <t>Support and Maintenance  (Tech Resources) - 30 hrs of ML engineer per month</t>
  </si>
  <si>
    <t>Average Token cost  per document(based on current pricing of GPT 4o mini)</t>
  </si>
  <si>
    <t>Projected # of documents per year</t>
  </si>
  <si>
    <t>Overall token costs per year</t>
  </si>
  <si>
    <t>plan</t>
  </si>
  <si>
    <t>dev</t>
  </si>
  <si>
    <t>testing</t>
  </si>
  <si>
    <t>Role</t>
  </si>
  <si>
    <t>Effort%</t>
  </si>
  <si>
    <t>Labor cost</t>
  </si>
  <si>
    <t>Solution Architect</t>
  </si>
  <si>
    <t>UI labor cost</t>
  </si>
  <si>
    <t>PM</t>
  </si>
  <si>
    <t>BA</t>
  </si>
  <si>
    <t>Contingency</t>
  </si>
  <si>
    <t>Dev Unit Testing</t>
  </si>
  <si>
    <t>QA Testing</t>
  </si>
  <si>
    <t>Integration Testing</t>
  </si>
  <si>
    <t>Scraping Labor cost</t>
  </si>
  <si>
    <t>w</t>
  </si>
  <si>
    <t>One time cost</t>
  </si>
  <si>
    <t>infra</t>
  </si>
  <si>
    <t>BAU per month</t>
  </si>
  <si>
    <t>BAU per year</t>
  </si>
  <si>
    <t>Total cost</t>
  </si>
  <si>
    <t># of entries per year</t>
  </si>
  <si>
    <t>cost per document</t>
  </si>
  <si>
    <t>Sprint-1</t>
  </si>
  <si>
    <t>Sprint-2</t>
  </si>
  <si>
    <t>Sprint-3</t>
  </si>
  <si>
    <t>Hardening</t>
  </si>
  <si>
    <t>Sprint-4</t>
  </si>
  <si>
    <t>Sprint-5</t>
  </si>
  <si>
    <t>Sprint-6</t>
  </si>
  <si>
    <t>UAT &amp; Deployment</t>
  </si>
  <si>
    <t>Warranty &amp; Support</t>
  </si>
  <si>
    <t>Streams</t>
  </si>
  <si>
    <t>Roles</t>
  </si>
  <si>
    <t xml:space="preserve">Count </t>
  </si>
  <si>
    <t>Planned Capacity (hrs)</t>
  </si>
  <si>
    <t xml:space="preserve">No of Productive 
days </t>
  </si>
  <si>
    <t>No. of weeks</t>
  </si>
  <si>
    <t>Week-1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</si>
  <si>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</si>
  <si>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</si>
  <si>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</si>
  <si>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</si>
  <si>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</si>
  <si>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</si>
  <si>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</si>
  <si>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</si>
  <si>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</si>
  <si>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</si>
  <si>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</si>
  <si>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</si>
  <si>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</si>
  <si>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Week-15</t>
  </si>
  <si>
    <t>Week-16</t>
  </si>
  <si>
    <t>Scraper</t>
  </si>
  <si>
    <t xml:space="preserve">Python resources - Pipeline &amp; Transformation </t>
  </si>
  <si>
    <t>Lead Python resources (Source config)</t>
  </si>
  <si>
    <t>Sr.Python resources (Source config)</t>
  </si>
  <si>
    <t>Python resources (Source config)</t>
  </si>
  <si>
    <t>DA</t>
  </si>
  <si>
    <t xml:space="preserve">AI/ML Consultant </t>
  </si>
  <si>
    <t>Sr. AI/ML Dev</t>
  </si>
  <si>
    <t>AI/ML Dev</t>
  </si>
  <si>
    <t>Proj Mgmt</t>
  </si>
  <si>
    <t>Scraping Lead</t>
  </si>
  <si>
    <t>AI/ML Lead</t>
  </si>
  <si>
    <t xml:space="preserve">BA </t>
  </si>
  <si>
    <t xml:space="preserve">Total </t>
  </si>
  <si>
    <t>Buffer</t>
  </si>
  <si>
    <t>SL No</t>
  </si>
  <si>
    <t>Modules</t>
  </si>
  <si>
    <t>Effort (hrs)</t>
  </si>
  <si>
    <t>Remarks</t>
  </si>
  <si>
    <t xml:space="preserve">Scrapping Soution </t>
  </si>
  <si>
    <t xml:space="preserve">AI/ML Solution </t>
  </si>
  <si>
    <t xml:space="preserve">Web App Solution </t>
  </si>
  <si>
    <t xml:space="preserve">Total Build Effort </t>
  </si>
  <si>
    <t xml:space="preserve">PM </t>
  </si>
  <si>
    <t xml:space="preserve">25% of Build effort </t>
  </si>
  <si>
    <t xml:space="preserve">20 % of Build effort ? - To be discussed </t>
  </si>
  <si>
    <t>Documentation ?</t>
  </si>
  <si>
    <t>Free of Cost</t>
  </si>
  <si>
    <t>Client training ?</t>
  </si>
  <si>
    <t>Overall Buffer</t>
  </si>
  <si>
    <t xml:space="preserve"> 10% of Build effort - To be discussed </t>
  </si>
  <si>
    <t xml:space="preserve">Scrapping infra cost </t>
  </si>
  <si>
    <t>Is this PCM cost? or for the entire build / set up duration?</t>
  </si>
  <si>
    <t xml:space="preserve">Overall Set Up Costs </t>
  </si>
  <si>
    <t>Application Support and Maintaince</t>
  </si>
  <si>
    <t>Cost calculated for 2 year : Monthly cost - £8,184</t>
  </si>
  <si>
    <t>Misc ??</t>
  </si>
  <si>
    <t xml:space="preserve">Total Solution Effort </t>
  </si>
  <si>
    <t xml:space="preserve">Productive days </t>
  </si>
  <si>
    <t>No of days per resource on average</t>
  </si>
  <si>
    <t>No of weeks</t>
  </si>
  <si>
    <t>No of sprint</t>
  </si>
  <si>
    <t>Assumptions</t>
  </si>
  <si>
    <t xml:space="preserve">Productive hours </t>
  </si>
  <si>
    <t>Days/week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</si>
</sst>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£&quot;#,##0.00;[Red]\-&quot;£&quot;#,##0.00"/>
    <numFmt numFmtId="165" formatCode="[$£-809]#,##0.00"/>
    <numFmt numFmtId="166" formatCode="#,##0.0_ ;[Red]\-#,##0.0\ "/>
    <numFmt numFmtId="167" formatCode="&quot;£&quot;#,##0.0000;[Red]\-&quot;£&quot;#,##0.0000"/>
    <numFmt numFmtId="168" formatCode="&quot;£&quot;#,##0;[Red]\-&quot;£&quot;#,##0"/>
    <numFmt numFmtId="169" formatCode="_-[$£-809]* #,##0_-;\-[$£-809]* #,##0_-;_-[$£-809]* &quot;-&quot;??_-;_-@_-"/>
    <numFmt numFmtId="170" formatCode="[$£-809]#,##0"/>
  </numFmts>
  <fonts count="4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rgb="FF242424"/>
      <name val="Calibri"/>
      <family val="2"/>
    </font>
    <font>
      <sz val="11"/>
      <color rgb="FF242424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rgb="FF000000"/>
      <name val="Calibri"/>
      <family val="2"/>
    </font>
    <font>
      <b/>
      <sz val="11"/>
      <color rgb="FF242424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0"/>
      <color rgb="FF1F4E78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sz val="11"/>
      <color rgb="FFC00000"/>
      <name val="Aptos Narrow"/>
      <family val="2"/>
    </font>
    <font>
      <sz val="11"/>
      <name val="Calibri"/>
      <family val="2"/>
    </font>
    <font>
      <sz val="10"/>
      <color theme="1"/>
      <name val="Arial Unicode MS"/>
    </font>
    <font>
      <b/>
      <sz val="12"/>
      <color rgb="FF164055"/>
      <name val="BDO Grotesk"/>
    </font>
    <font>
      <sz val="12"/>
      <color rgb="FF164055"/>
      <name val="BDO Grotesk"/>
    </font>
    <font>
      <sz val="18"/>
      <name val="Arial"/>
    </font>
    <font>
      <sz val="12"/>
      <color rgb="FFFFFFFF"/>
      <name val="Aptos Narrow"/>
    </font>
    <font>
      <sz val="12"/>
      <color rgb="FF000000"/>
      <name val="Aptos Narrow"/>
    </font>
    <font>
      <b/>
      <sz val="16"/>
      <color rgb="FF1F4E78"/>
      <name val="Aptos Narrow"/>
    </font>
    <font>
      <sz val="11"/>
      <color rgb="FF000000"/>
      <name val="Aptos Narrow"/>
    </font>
    <font>
      <b/>
      <sz val="11"/>
      <color rgb="FFFFFFFF"/>
      <name val="Aptos Narrow"/>
    </font>
    <font>
      <b/>
      <sz val="11"/>
      <color rgb="FF000000"/>
      <name val="Aptos Narrow"/>
    </font>
    <font>
      <sz val="11"/>
      <color rgb="FF000000"/>
      <name val="Aptos Narrow"/>
      <charset val="134"/>
    </font>
    <font>
      <sz val="11"/>
      <color rgb="FFC00000"/>
      <name val="Aptos Narrow"/>
    </font>
    <font>
      <b/>
      <sz val="11"/>
      <color theme="0"/>
      <name val="Calibri"/>
      <family val="2"/>
    </font>
    <font>
      <sz val="11"/>
      <color theme="0"/>
      <name val="Aptos Narrow"/>
      <family val="2"/>
      <scheme val="minor"/>
    </font>
    <font>
      <sz val="11"/>
      <color theme="0"/>
      <name val="Aptos Narrow"/>
      <charset val="134"/>
    </font>
    <font>
      <b/>
      <sz val="11"/>
      <color theme="0"/>
      <name val="Aptos Narrow"/>
      <family val="2"/>
      <scheme val="minor"/>
    </font>
    <font>
      <b/>
      <sz val="20"/>
      <color rgb="FF1F4E78"/>
      <name val="Aptos Narrow"/>
    </font>
    <font>
      <sz val="11"/>
      <color rgb="FF000000"/>
      <name val="Aptos Narrow"/>
      <charset val="1"/>
    </font>
    <font>
      <sz val="11"/>
      <color rgb="FFFF0000"/>
      <name val="Aptos Narrow"/>
      <family val="2"/>
      <scheme val="minor"/>
    </font>
    <font>
      <sz val="11"/>
      <color theme="0"/>
      <name val="Aptos Narrow"/>
      <charset val="1"/>
    </font>
    <font>
      <sz val="11"/>
      <color rgb="FF242424"/>
      <name val="Calibri"/>
    </font>
    <font>
      <b/>
      <sz val="11"/>
      <color rgb="FFFFFFFF"/>
      <name val="Calibri"/>
    </font>
    <font>
      <sz val="11"/>
      <color rgb="FF242424"/>
      <name val="Aptos Narrow"/>
    </font>
    <font>
      <sz val="11"/>
      <color rgb="FF000000"/>
      <name val="Calibri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579A9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6A9E76"/>
        <bgColor rgb="FF000000"/>
      </patternFill>
    </fill>
    <fill>
      <patternFill patternType="solid">
        <fgColor rgb="FF0B3040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88">
    <border>
      <left/>
      <right/>
      <top/>
      <bottom/>
      <diagonal/>
    </border>
    <border>
      <left style="medium">
        <color rgb="FFD1D1D1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D1D1D1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417">
    <xf numFmtId="0" fontId="0" fillId="0" borderId="0" xfId="0"/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top" wrapText="1"/>
    </xf>
    <xf numFmtId="0" fontId="4" fillId="3" borderId="3" xfId="0" applyFont="1" applyFill="1" applyBorder="1" applyAlignment="1">
      <alignment vertical="top" wrapText="1" readingOrder="1"/>
    </xf>
    <xf numFmtId="0" fontId="1" fillId="3" borderId="3" xfId="0" applyFont="1" applyFill="1" applyBorder="1" applyAlignment="1">
      <alignment horizontal="center" vertical="top" wrapText="1"/>
    </xf>
    <xf numFmtId="164" fontId="4" fillId="3" borderId="3" xfId="0" applyNumberFormat="1" applyFont="1" applyFill="1" applyBorder="1" applyAlignment="1">
      <alignment vertical="top" wrapText="1" readingOrder="1"/>
    </xf>
    <xf numFmtId="0" fontId="5" fillId="4" borderId="3" xfId="0" applyFont="1" applyFill="1" applyBorder="1" applyAlignment="1">
      <alignment vertical="top" wrapText="1" readingOrder="1"/>
    </xf>
    <xf numFmtId="0" fontId="6" fillId="0" borderId="3" xfId="0" applyFont="1" applyBorder="1" applyAlignment="1">
      <alignment vertical="top" readingOrder="1"/>
    </xf>
    <xf numFmtId="165" fontId="5" fillId="5" borderId="3" xfId="0" applyNumberFormat="1" applyFont="1" applyFill="1" applyBorder="1" applyAlignment="1">
      <alignment vertical="top"/>
    </xf>
    <xf numFmtId="164" fontId="6" fillId="0" borderId="3" xfId="0" applyNumberFormat="1" applyFont="1" applyBorder="1" applyAlignment="1">
      <alignment vertical="top" readingOrder="1"/>
    </xf>
    <xf numFmtId="0" fontId="5" fillId="4" borderId="4" xfId="0" applyFont="1" applyFill="1" applyBorder="1" applyAlignment="1">
      <alignment vertical="top" wrapText="1" readingOrder="1"/>
    </xf>
    <xf numFmtId="0" fontId="6" fillId="3" borderId="3" xfId="0" applyFont="1" applyFill="1" applyBorder="1" applyAlignment="1">
      <alignment vertical="top" readingOrder="1"/>
    </xf>
    <xf numFmtId="165" fontId="5" fillId="3" borderId="3" xfId="0" applyNumberFormat="1" applyFont="1" applyFill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165" fontId="5" fillId="5" borderId="4" xfId="0" applyNumberFormat="1" applyFont="1" applyFill="1" applyBorder="1" applyAlignment="1">
      <alignment vertical="top"/>
    </xf>
    <xf numFmtId="0" fontId="0" fillId="0" borderId="4" xfId="0" applyBorder="1" applyAlignment="1">
      <alignment vertical="top" wrapText="1"/>
    </xf>
    <xf numFmtId="0" fontId="8" fillId="0" borderId="3" xfId="0" applyFont="1" applyBorder="1"/>
    <xf numFmtId="0" fontId="6" fillId="0" borderId="3" xfId="0" applyFont="1" applyBorder="1" applyAlignment="1">
      <alignment horizontal="right" vertical="top" readingOrder="1"/>
    </xf>
    <xf numFmtId="0" fontId="4" fillId="4" borderId="3" xfId="0" applyFont="1" applyFill="1" applyBorder="1" applyAlignment="1">
      <alignment vertical="top" wrapText="1" readingOrder="1"/>
    </xf>
    <xf numFmtId="0" fontId="9" fillId="0" borderId="3" xfId="0" applyFont="1" applyBorder="1" applyAlignment="1">
      <alignment horizontal="right" vertical="top" readingOrder="1"/>
    </xf>
    <xf numFmtId="165" fontId="4" fillId="5" borderId="3" xfId="0" applyNumberFormat="1" applyFont="1" applyFill="1" applyBorder="1" applyAlignment="1">
      <alignment vertical="top"/>
    </xf>
    <xf numFmtId="0" fontId="6" fillId="0" borderId="0" xfId="0" applyFont="1" applyAlignment="1">
      <alignment horizontal="right" vertical="top" readingOrder="1"/>
    </xf>
    <xf numFmtId="164" fontId="6" fillId="0" borderId="4" xfId="0" applyNumberFormat="1" applyFont="1" applyBorder="1" applyAlignment="1">
      <alignment vertical="top" readingOrder="1"/>
    </xf>
    <xf numFmtId="0" fontId="1" fillId="3" borderId="3" xfId="0" applyFont="1" applyFill="1" applyBorder="1" applyAlignment="1">
      <alignment vertical="top"/>
    </xf>
    <xf numFmtId="164" fontId="1" fillId="3" borderId="3" xfId="0" applyNumberFormat="1" applyFont="1" applyFill="1" applyBorder="1" applyAlignment="1">
      <alignment vertical="top"/>
    </xf>
    <xf numFmtId="0" fontId="7" fillId="0" borderId="3" xfId="0" applyFont="1" applyBorder="1" applyAlignment="1">
      <alignment horizontal="center" vertical="top"/>
    </xf>
    <xf numFmtId="0" fontId="11" fillId="5" borderId="0" xfId="0" applyFont="1" applyFill="1" applyAlignment="1">
      <alignment vertical="top"/>
    </xf>
    <xf numFmtId="0" fontId="12" fillId="0" borderId="3" xfId="0" applyFont="1" applyBorder="1" applyAlignment="1">
      <alignment vertical="top"/>
    </xf>
    <xf numFmtId="0" fontId="11" fillId="5" borderId="0" xfId="0" applyFont="1" applyFill="1" applyAlignment="1">
      <alignment horizontal="left" vertical="top" wrapText="1"/>
    </xf>
    <xf numFmtId="0" fontId="13" fillId="0" borderId="3" xfId="0" applyFont="1" applyBorder="1" applyAlignment="1">
      <alignment vertical="top" wrapText="1"/>
    </xf>
    <xf numFmtId="0" fontId="6" fillId="0" borderId="0" xfId="0" applyFont="1" applyAlignment="1">
      <alignment vertical="top" readingOrder="1"/>
    </xf>
    <xf numFmtId="0" fontId="6" fillId="4" borderId="3" xfId="0" applyFont="1" applyFill="1" applyBorder="1" applyAlignment="1">
      <alignment vertical="top" wrapText="1" readingOrder="1"/>
    </xf>
    <xf numFmtId="167" fontId="12" fillId="0" borderId="3" xfId="0" applyNumberFormat="1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horizontal="right" vertical="top"/>
    </xf>
    <xf numFmtId="0" fontId="0" fillId="0" borderId="0" xfId="0" applyAlignment="1">
      <alignment vertical="top"/>
    </xf>
    <xf numFmtId="0" fontId="9" fillId="0" borderId="3" xfId="0" applyFont="1" applyBorder="1" applyAlignment="1">
      <alignment vertical="top" wrapText="1" readingOrder="1"/>
    </xf>
    <xf numFmtId="167" fontId="13" fillId="0" borderId="3" xfId="0" applyNumberFormat="1" applyFont="1" applyBorder="1" applyAlignment="1">
      <alignment vertical="top"/>
    </xf>
    <xf numFmtId="0" fontId="8" fillId="0" borderId="3" xfId="0" applyFont="1" applyBorder="1" applyAlignment="1">
      <alignment horizontal="left" vertical="top" wrapText="1"/>
    </xf>
    <xf numFmtId="168" fontId="13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0" fillId="0" borderId="0" xfId="0" applyNumberFormat="1"/>
    <xf numFmtId="0" fontId="16" fillId="0" borderId="10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1" xfId="0" applyFont="1" applyBorder="1"/>
    <xf numFmtId="0" fontId="18" fillId="8" borderId="15" xfId="0" applyFont="1" applyFill="1" applyBorder="1" applyAlignment="1">
      <alignment wrapText="1"/>
    </xf>
    <xf numFmtId="0" fontId="18" fillId="8" borderId="16" xfId="0" applyFont="1" applyFill="1" applyBorder="1" applyAlignment="1">
      <alignment wrapText="1"/>
    </xf>
    <xf numFmtId="0" fontId="18" fillId="8" borderId="16" xfId="0" applyFont="1" applyFill="1" applyBorder="1"/>
    <xf numFmtId="0" fontId="18" fillId="8" borderId="17" xfId="0" applyFont="1" applyFill="1" applyBorder="1"/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165" fontId="0" fillId="0" borderId="16" xfId="0" applyNumberFormat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165" fontId="0" fillId="0" borderId="17" xfId="0" applyNumberFormat="1" applyBorder="1" applyAlignment="1">
      <alignment horizontal="center" vertical="center"/>
    </xf>
    <xf numFmtId="0" fontId="8" fillId="0" borderId="16" xfId="0" applyFont="1" applyBorder="1"/>
    <xf numFmtId="165" fontId="8" fillId="0" borderId="16" xfId="0" applyNumberFormat="1" applyFont="1" applyBorder="1" applyAlignment="1">
      <alignment horizontal="center"/>
    </xf>
    <xf numFmtId="0" fontId="16" fillId="0" borderId="16" xfId="0" applyFont="1" applyBorder="1"/>
    <xf numFmtId="0" fontId="16" fillId="9" borderId="18" xfId="0" applyFont="1" applyFill="1" applyBorder="1" applyAlignment="1">
      <alignment wrapText="1"/>
    </xf>
    <xf numFmtId="0" fontId="17" fillId="9" borderId="19" xfId="0" applyFont="1" applyFill="1" applyBorder="1" applyAlignment="1">
      <alignment wrapText="1"/>
    </xf>
    <xf numFmtId="0" fontId="17" fillId="9" borderId="19" xfId="0" applyFont="1" applyFill="1" applyBorder="1" applyAlignment="1">
      <alignment horizontal="center"/>
    </xf>
    <xf numFmtId="165" fontId="2" fillId="9" borderId="20" xfId="0" applyNumberFormat="1" applyFont="1" applyFill="1" applyBorder="1" applyAlignment="1">
      <alignment horizontal="center"/>
    </xf>
    <xf numFmtId="165" fontId="17" fillId="9" borderId="19" xfId="0" applyNumberFormat="1" applyFont="1" applyFill="1" applyBorder="1" applyAlignment="1">
      <alignment horizontal="center" wrapText="1"/>
    </xf>
    <xf numFmtId="0" fontId="2" fillId="9" borderId="16" xfId="0" applyFont="1" applyFill="1" applyBorder="1" applyAlignment="1">
      <alignment horizontal="center"/>
    </xf>
    <xf numFmtId="165" fontId="2" fillId="9" borderId="17" xfId="0" applyNumberFormat="1" applyFont="1" applyFill="1" applyBorder="1" applyAlignment="1">
      <alignment horizontal="center"/>
    </xf>
    <xf numFmtId="0" fontId="16" fillId="10" borderId="21" xfId="0" applyFont="1" applyFill="1" applyBorder="1" applyAlignment="1">
      <alignment wrapText="1"/>
    </xf>
    <xf numFmtId="0" fontId="18" fillId="10" borderId="22" xfId="0" applyFont="1" applyFill="1" applyBorder="1" applyAlignment="1">
      <alignment wrapText="1"/>
    </xf>
    <xf numFmtId="0" fontId="18" fillId="10" borderId="22" xfId="0" applyFont="1" applyFill="1" applyBorder="1"/>
    <xf numFmtId="165" fontId="9" fillId="10" borderId="23" xfId="0" applyNumberFormat="1" applyFont="1" applyFill="1" applyBorder="1" applyAlignment="1">
      <alignment horizontal="center"/>
    </xf>
    <xf numFmtId="0" fontId="18" fillId="8" borderId="27" xfId="0" applyFont="1" applyFill="1" applyBorder="1" applyAlignment="1">
      <alignment wrapText="1"/>
    </xf>
    <xf numFmtId="0" fontId="18" fillId="8" borderId="28" xfId="0" applyFont="1" applyFill="1" applyBorder="1" applyAlignment="1">
      <alignment wrapText="1"/>
    </xf>
    <xf numFmtId="0" fontId="18" fillId="8" borderId="28" xfId="0" applyFont="1" applyFill="1" applyBorder="1"/>
    <xf numFmtId="0" fontId="18" fillId="8" borderId="29" xfId="0" applyFont="1" applyFill="1" applyBorder="1"/>
    <xf numFmtId="0" fontId="8" fillId="5" borderId="16" xfId="0" applyFont="1" applyFill="1" applyBorder="1" applyAlignment="1">
      <alignment wrapText="1"/>
    </xf>
    <xf numFmtId="165" fontId="0" fillId="0" borderId="30" xfId="0" applyNumberFormat="1" applyBorder="1" applyAlignment="1">
      <alignment horizontal="center" vertical="center"/>
    </xf>
    <xf numFmtId="0" fontId="18" fillId="8" borderId="31" xfId="0" applyFont="1" applyFill="1" applyBorder="1"/>
    <xf numFmtId="165" fontId="0" fillId="0" borderId="31" xfId="0" applyNumberFormat="1" applyBorder="1" applyAlignment="1">
      <alignment horizontal="center" vertical="center"/>
    </xf>
    <xf numFmtId="0" fontId="16" fillId="10" borderId="32" xfId="0" applyFont="1" applyFill="1" applyBorder="1" applyAlignment="1">
      <alignment wrapText="1"/>
    </xf>
    <xf numFmtId="0" fontId="18" fillId="10" borderId="33" xfId="0" applyFont="1" applyFill="1" applyBorder="1" applyAlignment="1">
      <alignment wrapText="1"/>
    </xf>
    <xf numFmtId="0" fontId="18" fillId="10" borderId="33" xfId="0" applyFont="1" applyFill="1" applyBorder="1"/>
    <xf numFmtId="165" fontId="18" fillId="10" borderId="23" xfId="0" applyNumberFormat="1" applyFont="1" applyFill="1" applyBorder="1" applyAlignment="1">
      <alignment horizontal="center"/>
    </xf>
    <xf numFmtId="0" fontId="16" fillId="0" borderId="35" xfId="0" applyFont="1" applyBorder="1" applyAlignment="1">
      <alignment wrapText="1"/>
    </xf>
    <xf numFmtId="0" fontId="16" fillId="0" borderId="35" xfId="0" applyFont="1" applyBorder="1"/>
    <xf numFmtId="0" fontId="16" fillId="0" borderId="36" xfId="0" applyFont="1" applyBorder="1"/>
    <xf numFmtId="0" fontId="15" fillId="0" borderId="10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8" fillId="8" borderId="15" xfId="0" applyFont="1" applyFill="1" applyBorder="1"/>
    <xf numFmtId="0" fontId="16" fillId="0" borderId="15" xfId="0" applyFont="1" applyBorder="1"/>
    <xf numFmtId="0" fontId="16" fillId="0" borderId="16" xfId="0" applyFont="1" applyBorder="1" applyAlignment="1">
      <alignment horizontal="center" wrapText="1"/>
    </xf>
    <xf numFmtId="165" fontId="8" fillId="5" borderId="17" xfId="0" applyNumberFormat="1" applyFont="1" applyFill="1" applyBorder="1" applyAlignment="1">
      <alignment horizontal="center" wrapText="1"/>
    </xf>
    <xf numFmtId="0" fontId="18" fillId="8" borderId="16" xfId="0" applyFont="1" applyFill="1" applyBorder="1" applyAlignment="1">
      <alignment horizontal="center" wrapText="1"/>
    </xf>
    <xf numFmtId="0" fontId="18" fillId="8" borderId="16" xfId="0" applyFont="1" applyFill="1" applyBorder="1" applyAlignment="1">
      <alignment horizontal="center"/>
    </xf>
    <xf numFmtId="0" fontId="18" fillId="8" borderId="40" xfId="0" applyFont="1" applyFill="1" applyBorder="1" applyAlignment="1">
      <alignment wrapText="1"/>
    </xf>
    <xf numFmtId="165" fontId="18" fillId="8" borderId="17" xfId="0" applyNumberFormat="1" applyFont="1" applyFill="1" applyBorder="1" applyAlignment="1">
      <alignment horizontal="center"/>
    </xf>
    <xf numFmtId="0" fontId="10" fillId="0" borderId="41" xfId="0" applyFont="1" applyBorder="1" applyAlignment="1">
      <alignment vertical="top" wrapText="1"/>
    </xf>
    <xf numFmtId="0" fontId="0" fillId="0" borderId="16" xfId="0" applyBorder="1"/>
    <xf numFmtId="0" fontId="16" fillId="0" borderId="42" xfId="0" applyFont="1" applyBorder="1" applyAlignment="1">
      <alignment wrapText="1"/>
    </xf>
    <xf numFmtId="0" fontId="12" fillId="0" borderId="41" xfId="0" applyFont="1" applyBorder="1" applyAlignment="1">
      <alignment vertical="top"/>
    </xf>
    <xf numFmtId="165" fontId="8" fillId="5" borderId="20" xfId="0" applyNumberFormat="1" applyFont="1" applyFill="1" applyBorder="1" applyAlignment="1">
      <alignment horizontal="center" wrapText="1"/>
    </xf>
    <xf numFmtId="0" fontId="13" fillId="0" borderId="41" xfId="0" applyFont="1" applyBorder="1" applyAlignment="1">
      <alignment vertical="top" wrapText="1"/>
    </xf>
    <xf numFmtId="0" fontId="6" fillId="4" borderId="41" xfId="0" applyFont="1" applyFill="1" applyBorder="1" applyAlignment="1">
      <alignment vertical="top" wrapText="1" readingOrder="1"/>
    </xf>
    <xf numFmtId="0" fontId="0" fillId="0" borderId="41" xfId="0" applyBorder="1" applyAlignment="1">
      <alignment vertical="top"/>
    </xf>
    <xf numFmtId="1" fontId="8" fillId="5" borderId="20" xfId="0" applyNumberFormat="1" applyFont="1" applyFill="1" applyBorder="1" applyAlignment="1">
      <alignment horizontal="center" wrapText="1"/>
    </xf>
    <xf numFmtId="0" fontId="16" fillId="10" borderId="43" xfId="0" applyFont="1" applyFill="1" applyBorder="1"/>
    <xf numFmtId="0" fontId="18" fillId="10" borderId="44" xfId="0" applyFont="1" applyFill="1" applyBorder="1"/>
    <xf numFmtId="0" fontId="18" fillId="10" borderId="44" xfId="0" applyFont="1" applyFill="1" applyBorder="1" applyAlignment="1">
      <alignment wrapText="1"/>
    </xf>
    <xf numFmtId="0" fontId="16" fillId="0" borderId="10" xfId="0" applyFont="1" applyBorder="1"/>
    <xf numFmtId="0" fontId="0" fillId="0" borderId="11" xfId="0" applyBorder="1"/>
    <xf numFmtId="0" fontId="8" fillId="5" borderId="16" xfId="0" applyFont="1" applyFill="1" applyBorder="1" applyAlignment="1">
      <alignment horizontal="left" vertical="top" wrapText="1"/>
    </xf>
    <xf numFmtId="0" fontId="8" fillId="5" borderId="17" xfId="0" applyFont="1" applyFill="1" applyBorder="1" applyAlignment="1">
      <alignment wrapText="1"/>
    </xf>
    <xf numFmtId="0" fontId="20" fillId="0" borderId="34" xfId="0" applyFont="1" applyBorder="1" applyAlignment="1">
      <alignment horizontal="left" vertical="top"/>
    </xf>
    <xf numFmtId="0" fontId="2" fillId="2" borderId="1" xfId="0" applyFont="1" applyFill="1" applyBorder="1" applyAlignment="1">
      <alignment vertical="top" wrapText="1" readingOrder="1"/>
    </xf>
    <xf numFmtId="0" fontId="3" fillId="3" borderId="2" xfId="0" applyFont="1" applyFill="1" applyBorder="1" applyAlignment="1">
      <alignment vertical="top"/>
    </xf>
    <xf numFmtId="0" fontId="2" fillId="2" borderId="5" xfId="0" applyFont="1" applyFill="1" applyBorder="1" applyAlignment="1">
      <alignment vertical="top" wrapText="1" readingOrder="1"/>
    </xf>
    <xf numFmtId="0" fontId="14" fillId="6" borderId="6" xfId="0" applyFont="1" applyFill="1" applyBorder="1" applyAlignment="1">
      <alignment vertical="top" wrapText="1"/>
    </xf>
    <xf numFmtId="0" fontId="16" fillId="8" borderId="15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164" fontId="6" fillId="11" borderId="4" xfId="0" applyNumberFormat="1" applyFont="1" applyFill="1" applyBorder="1" applyAlignment="1">
      <alignment vertical="top" readingOrder="1"/>
    </xf>
    <xf numFmtId="0" fontId="4" fillId="12" borderId="4" xfId="0" applyFont="1" applyFill="1" applyBorder="1" applyAlignment="1">
      <alignment vertical="top" wrapText="1" readingOrder="1"/>
    </xf>
    <xf numFmtId="0" fontId="9" fillId="12" borderId="0" xfId="0" applyFont="1" applyFill="1" applyAlignment="1">
      <alignment horizontal="right" vertical="top" readingOrder="1"/>
    </xf>
    <xf numFmtId="0" fontId="9" fillId="12" borderId="3" xfId="0" applyFont="1" applyFill="1" applyBorder="1" applyAlignment="1">
      <alignment horizontal="right" vertical="top" readingOrder="1"/>
    </xf>
    <xf numFmtId="165" fontId="4" fillId="13" borderId="4" xfId="0" applyNumberFormat="1" applyFont="1" applyFill="1" applyBorder="1" applyAlignment="1">
      <alignment vertical="top"/>
    </xf>
    <xf numFmtId="164" fontId="9" fillId="12" borderId="4" xfId="0" applyNumberFormat="1" applyFont="1" applyFill="1" applyBorder="1" applyAlignment="1">
      <alignment vertical="top" readingOrder="1"/>
    </xf>
    <xf numFmtId="9" fontId="0" fillId="0" borderId="0" xfId="0" applyNumberFormat="1"/>
    <xf numFmtId="0" fontId="0" fillId="0" borderId="0" xfId="0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1" fillId="0" borderId="3" xfId="0" applyFont="1" applyBorder="1" applyAlignment="1">
      <alignment vertical="top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center" vertical="top"/>
    </xf>
    <xf numFmtId="0" fontId="21" fillId="0" borderId="3" xfId="0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28" xfId="0" applyBorder="1" applyAlignment="1">
      <alignment vertical="top" wrapText="1"/>
    </xf>
    <xf numFmtId="0" fontId="0" fillId="0" borderId="28" xfId="0" applyBorder="1" applyAlignment="1">
      <alignment vertical="top"/>
    </xf>
    <xf numFmtId="0" fontId="8" fillId="0" borderId="3" xfId="0" applyFont="1" applyBorder="1" applyAlignment="1">
      <alignment vertical="top"/>
    </xf>
    <xf numFmtId="16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12" fillId="0" borderId="3" xfId="0" applyFont="1" applyBorder="1" applyAlignment="1">
      <alignment vertical="top" wrapText="1"/>
    </xf>
    <xf numFmtId="168" fontId="13" fillId="11" borderId="3" xfId="0" applyNumberFormat="1" applyFont="1" applyFill="1" applyBorder="1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vertical="center"/>
    </xf>
    <xf numFmtId="0" fontId="23" fillId="14" borderId="16" xfId="0" applyFont="1" applyFill="1" applyBorder="1" applyAlignment="1">
      <alignment readingOrder="1"/>
    </xf>
    <xf numFmtId="0" fontId="24" fillId="0" borderId="45" xfId="0" applyFont="1" applyBorder="1" applyAlignment="1">
      <alignment readingOrder="1"/>
    </xf>
    <xf numFmtId="0" fontId="26" fillId="15" borderId="45" xfId="0" applyFont="1" applyFill="1" applyBorder="1" applyAlignment="1">
      <alignment readingOrder="1"/>
    </xf>
    <xf numFmtId="0" fontId="25" fillId="0" borderId="45" xfId="0" applyFont="1" applyBorder="1" applyAlignment="1">
      <alignment readingOrder="1"/>
    </xf>
    <xf numFmtId="0" fontId="26" fillId="16" borderId="45" xfId="0" applyFont="1" applyFill="1" applyBorder="1" applyAlignment="1">
      <alignment readingOrder="1"/>
    </xf>
    <xf numFmtId="0" fontId="29" fillId="0" borderId="51" xfId="0" applyFont="1" applyBorder="1" applyAlignment="1">
      <alignment wrapText="1"/>
    </xf>
    <xf numFmtId="0" fontId="29" fillId="0" borderId="0" xfId="0" applyFont="1" applyAlignment="1">
      <alignment wrapText="1"/>
    </xf>
    <xf numFmtId="0" fontId="29" fillId="0" borderId="0" xfId="0" applyFont="1"/>
    <xf numFmtId="0" fontId="29" fillId="0" borderId="52" xfId="0" applyFont="1" applyBorder="1"/>
    <xf numFmtId="0" fontId="31" fillId="8" borderId="56" xfId="0" applyFont="1" applyFill="1" applyBorder="1" applyAlignment="1">
      <alignment wrapText="1"/>
    </xf>
    <xf numFmtId="0" fontId="31" fillId="8" borderId="19" xfId="0" applyFont="1" applyFill="1" applyBorder="1" applyAlignment="1">
      <alignment wrapText="1"/>
    </xf>
    <xf numFmtId="0" fontId="31" fillId="8" borderId="19" xfId="0" applyFont="1" applyFill="1" applyBorder="1"/>
    <xf numFmtId="0" fontId="31" fillId="8" borderId="57" xfId="0" applyFont="1" applyFill="1" applyBorder="1"/>
    <xf numFmtId="0" fontId="29" fillId="0" borderId="58" xfId="0" applyFont="1" applyBorder="1"/>
    <xf numFmtId="0" fontId="29" fillId="0" borderId="28" xfId="0" applyFont="1" applyBorder="1"/>
    <xf numFmtId="0" fontId="31" fillId="8" borderId="60" xfId="0" applyFont="1" applyFill="1" applyBorder="1" applyAlignment="1">
      <alignment wrapText="1"/>
    </xf>
    <xf numFmtId="0" fontId="29" fillId="0" borderId="19" xfId="0" applyFont="1" applyBorder="1"/>
    <xf numFmtId="0" fontId="29" fillId="0" borderId="62" xfId="0" applyFont="1" applyBorder="1" applyAlignment="1">
      <alignment wrapText="1"/>
    </xf>
    <xf numFmtId="0" fontId="31" fillId="8" borderId="65" xfId="0" applyFont="1" applyFill="1" applyBorder="1" applyAlignment="1">
      <alignment wrapText="1"/>
    </xf>
    <xf numFmtId="0" fontId="32" fillId="0" borderId="46" xfId="0" applyFont="1" applyBorder="1" applyAlignment="1">
      <alignment wrapText="1"/>
    </xf>
    <xf numFmtId="0" fontId="29" fillId="0" borderId="22" xfId="0" applyFont="1" applyBorder="1"/>
    <xf numFmtId="0" fontId="31" fillId="8" borderId="46" xfId="0" applyFont="1" applyFill="1" applyBorder="1" applyAlignment="1">
      <alignment wrapText="1"/>
    </xf>
    <xf numFmtId="0" fontId="29" fillId="0" borderId="70" xfId="0" applyFont="1" applyBorder="1" applyAlignment="1">
      <alignment wrapText="1"/>
    </xf>
    <xf numFmtId="0" fontId="31" fillId="8" borderId="47" xfId="0" applyFont="1" applyFill="1" applyBorder="1" applyAlignment="1">
      <alignment wrapText="1"/>
    </xf>
    <xf numFmtId="0" fontId="29" fillId="10" borderId="69" xfId="0" applyFont="1" applyFill="1" applyBorder="1" applyAlignment="1">
      <alignment wrapText="1"/>
    </xf>
    <xf numFmtId="0" fontId="31" fillId="10" borderId="71" xfId="0" applyFont="1" applyFill="1" applyBorder="1" applyAlignment="1">
      <alignment wrapText="1"/>
    </xf>
    <xf numFmtId="0" fontId="29" fillId="0" borderId="51" xfId="0" applyFont="1" applyBorder="1"/>
    <xf numFmtId="0" fontId="0" fillId="0" borderId="0" xfId="0" applyAlignment="1">
      <alignment horizontal="center"/>
    </xf>
    <xf numFmtId="165" fontId="29" fillId="0" borderId="28" xfId="0" applyNumberFormat="1" applyFont="1" applyBorder="1"/>
    <xf numFmtId="165" fontId="29" fillId="0" borderId="52" xfId="0" applyNumberFormat="1" applyFont="1" applyBorder="1"/>
    <xf numFmtId="165" fontId="31" fillId="8" borderId="60" xfId="0" applyNumberFormat="1" applyFont="1" applyFill="1" applyBorder="1" applyAlignment="1">
      <alignment horizontal="center"/>
    </xf>
    <xf numFmtId="0" fontId="31" fillId="8" borderId="60" xfId="0" applyFont="1" applyFill="1" applyBorder="1" applyAlignment="1">
      <alignment horizontal="center"/>
    </xf>
    <xf numFmtId="165" fontId="31" fillId="8" borderId="61" xfId="0" applyNumberFormat="1" applyFont="1" applyFill="1" applyBorder="1" applyAlignment="1">
      <alignment horizontal="center"/>
    </xf>
    <xf numFmtId="165" fontId="29" fillId="0" borderId="46" xfId="0" applyNumberFormat="1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165" fontId="29" fillId="0" borderId="57" xfId="0" applyNumberFormat="1" applyFont="1" applyBorder="1" applyAlignment="1">
      <alignment horizontal="center"/>
    </xf>
    <xf numFmtId="165" fontId="29" fillId="0" borderId="47" xfId="0" applyNumberFormat="1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165" fontId="29" fillId="0" borderId="52" xfId="0" applyNumberFormat="1" applyFont="1" applyBorder="1" applyAlignment="1">
      <alignment horizontal="center"/>
    </xf>
    <xf numFmtId="165" fontId="29" fillId="0" borderId="63" xfId="0" applyNumberFormat="1" applyFont="1" applyBorder="1" applyAlignment="1">
      <alignment horizontal="center"/>
    </xf>
    <xf numFmtId="0" fontId="29" fillId="0" borderId="62" xfId="0" applyFont="1" applyBorder="1" applyAlignment="1">
      <alignment horizontal="center" wrapText="1"/>
    </xf>
    <xf numFmtId="165" fontId="29" fillId="0" borderId="64" xfId="0" applyNumberFormat="1" applyFont="1" applyBorder="1" applyAlignment="1">
      <alignment horizontal="center"/>
    </xf>
    <xf numFmtId="0" fontId="31" fillId="8" borderId="65" xfId="0" applyFont="1" applyFill="1" applyBorder="1" applyAlignment="1">
      <alignment horizontal="center"/>
    </xf>
    <xf numFmtId="165" fontId="31" fillId="8" borderId="66" xfId="0" applyNumberFormat="1" applyFont="1" applyFill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165" fontId="29" fillId="0" borderId="19" xfId="0" applyNumberFormat="1" applyFont="1" applyBorder="1" applyAlignment="1">
      <alignment horizontal="center"/>
    </xf>
    <xf numFmtId="165" fontId="29" fillId="0" borderId="22" xfId="0" applyNumberFormat="1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31" fillId="8" borderId="46" xfId="0" applyFont="1" applyFill="1" applyBorder="1" applyAlignment="1">
      <alignment horizontal="center"/>
    </xf>
    <xf numFmtId="165" fontId="31" fillId="8" borderId="68" xfId="0" applyNumberFormat="1" applyFont="1" applyFill="1" applyBorder="1" applyAlignment="1">
      <alignment horizontal="center"/>
    </xf>
    <xf numFmtId="165" fontId="29" fillId="0" borderId="71" xfId="0" applyNumberFormat="1" applyFont="1" applyBorder="1" applyAlignment="1">
      <alignment horizontal="center"/>
    </xf>
    <xf numFmtId="0" fontId="29" fillId="0" borderId="71" xfId="0" applyFont="1" applyBorder="1" applyAlignment="1">
      <alignment horizontal="center"/>
    </xf>
    <xf numFmtId="165" fontId="29" fillId="0" borderId="72" xfId="0" applyNumberFormat="1" applyFont="1" applyBorder="1" applyAlignment="1">
      <alignment horizontal="center"/>
    </xf>
    <xf numFmtId="165" fontId="31" fillId="8" borderId="46" xfId="0" applyNumberFormat="1" applyFont="1" applyFill="1" applyBorder="1" applyAlignment="1">
      <alignment horizontal="center"/>
    </xf>
    <xf numFmtId="165" fontId="31" fillId="8" borderId="47" xfId="0" applyNumberFormat="1" applyFont="1" applyFill="1" applyBorder="1" applyAlignment="1">
      <alignment horizontal="center"/>
    </xf>
    <xf numFmtId="0" fontId="31" fillId="8" borderId="47" xfId="0" applyFont="1" applyFill="1" applyBorder="1" applyAlignment="1">
      <alignment horizontal="center"/>
    </xf>
    <xf numFmtId="165" fontId="30" fillId="9" borderId="68" xfId="0" applyNumberFormat="1" applyFont="1" applyFill="1" applyBorder="1" applyAlignment="1">
      <alignment horizontal="center"/>
    </xf>
    <xf numFmtId="165" fontId="31" fillId="10" borderId="71" xfId="0" applyNumberFormat="1" applyFont="1" applyFill="1" applyBorder="1" applyAlignment="1">
      <alignment horizontal="center" wrapText="1"/>
    </xf>
    <xf numFmtId="0" fontId="31" fillId="10" borderId="71" xfId="0" applyFont="1" applyFill="1" applyBorder="1" applyAlignment="1">
      <alignment horizontal="center"/>
    </xf>
    <xf numFmtId="165" fontId="31" fillId="10" borderId="72" xfId="0" applyNumberFormat="1" applyFont="1" applyFill="1" applyBorder="1" applyAlignment="1">
      <alignment horizontal="center"/>
    </xf>
    <xf numFmtId="0" fontId="9" fillId="0" borderId="40" xfId="0" applyFont="1" applyBorder="1"/>
    <xf numFmtId="0" fontId="9" fillId="0" borderId="63" xfId="0" applyFont="1" applyBorder="1"/>
    <xf numFmtId="0" fontId="32" fillId="0" borderId="0" xfId="0" applyFont="1"/>
    <xf numFmtId="0" fontId="9" fillId="0" borderId="45" xfId="0" applyFont="1" applyBorder="1"/>
    <xf numFmtId="0" fontId="9" fillId="0" borderId="74" xfId="0" applyFont="1" applyBorder="1"/>
    <xf numFmtId="9" fontId="32" fillId="0" borderId="46" xfId="0" applyNumberFormat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9" fontId="32" fillId="0" borderId="47" xfId="0" applyNumberFormat="1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4" fillId="18" borderId="16" xfId="0" applyFont="1" applyFill="1" applyBorder="1" applyAlignment="1">
      <alignment horizontal="center" vertical="center"/>
    </xf>
    <xf numFmtId="0" fontId="34" fillId="18" borderId="42" xfId="0" applyFont="1" applyFill="1" applyBorder="1" applyAlignment="1">
      <alignment horizontal="center" vertical="center"/>
    </xf>
    <xf numFmtId="0" fontId="35" fillId="18" borderId="16" xfId="0" applyFont="1" applyFill="1" applyBorder="1" applyAlignment="1">
      <alignment horizontal="center" vertical="center"/>
    </xf>
    <xf numFmtId="0" fontId="36" fillId="19" borderId="42" xfId="0" applyFont="1" applyFill="1" applyBorder="1" applyAlignment="1">
      <alignment horizontal="center" vertical="center"/>
    </xf>
    <xf numFmtId="0" fontId="37" fillId="19" borderId="16" xfId="0" applyFont="1" applyFill="1" applyBorder="1"/>
    <xf numFmtId="0" fontId="37" fillId="19" borderId="16" xfId="0" applyFont="1" applyFill="1" applyBorder="1" applyAlignment="1">
      <alignment horizontal="center" vertical="center"/>
    </xf>
    <xf numFmtId="0" fontId="31" fillId="8" borderId="18" xfId="0" applyFont="1" applyFill="1" applyBorder="1"/>
    <xf numFmtId="0" fontId="31" fillId="8" borderId="29" xfId="0" applyFont="1" applyFill="1" applyBorder="1"/>
    <xf numFmtId="0" fontId="29" fillId="20" borderId="29" xfId="0" applyFont="1" applyFill="1" applyBorder="1" applyAlignment="1">
      <alignment wrapText="1"/>
    </xf>
    <xf numFmtId="0" fontId="29" fillId="20" borderId="11" xfId="0" applyFont="1" applyFill="1" applyBorder="1" applyAlignment="1">
      <alignment wrapText="1"/>
    </xf>
    <xf numFmtId="0" fontId="16" fillId="0" borderId="28" xfId="0" applyFont="1" applyBorder="1"/>
    <xf numFmtId="0" fontId="29" fillId="20" borderId="36" xfId="0" applyFont="1" applyFill="1" applyBorder="1" applyAlignment="1">
      <alignment wrapText="1"/>
    </xf>
    <xf numFmtId="0" fontId="29" fillId="0" borderId="27" xfId="0" applyFont="1" applyBorder="1" applyAlignment="1">
      <alignment horizontal="center" wrapText="1"/>
    </xf>
    <xf numFmtId="0" fontId="29" fillId="0" borderId="16" xfId="0" applyFont="1" applyBorder="1"/>
    <xf numFmtId="0" fontId="29" fillId="0" borderId="16" xfId="0" applyFont="1" applyBorder="1" applyAlignment="1">
      <alignment wrapText="1"/>
    </xf>
    <xf numFmtId="0" fontId="29" fillId="0" borderId="78" xfId="0" applyFont="1" applyBorder="1" applyAlignment="1">
      <alignment horizontal="center"/>
    </xf>
    <xf numFmtId="0" fontId="16" fillId="0" borderId="78" xfId="0" applyFont="1" applyBorder="1" applyAlignment="1">
      <alignment horizontal="center"/>
    </xf>
    <xf numFmtId="0" fontId="29" fillId="0" borderId="10" xfId="0" applyFont="1" applyBorder="1" applyAlignment="1">
      <alignment horizontal="center" wrapText="1"/>
    </xf>
    <xf numFmtId="0" fontId="31" fillId="8" borderId="28" xfId="0" applyFont="1" applyFill="1" applyBorder="1"/>
    <xf numFmtId="0" fontId="31" fillId="8" borderId="0" xfId="0" applyFont="1" applyFill="1" applyAlignment="1">
      <alignment wrapText="1"/>
    </xf>
    <xf numFmtId="165" fontId="29" fillId="5" borderId="16" xfId="0" applyNumberFormat="1" applyFont="1" applyFill="1" applyBorder="1" applyAlignment="1">
      <alignment horizontal="center" vertical="center" wrapText="1"/>
    </xf>
    <xf numFmtId="165" fontId="31" fillId="14" borderId="9" xfId="0" applyNumberFormat="1" applyFont="1" applyFill="1" applyBorder="1" applyAlignment="1">
      <alignment horizontal="center" vertical="center"/>
    </xf>
    <xf numFmtId="165" fontId="29" fillId="0" borderId="79" xfId="0" applyNumberFormat="1" applyFont="1" applyBorder="1" applyAlignment="1">
      <alignment horizontal="center" vertical="center"/>
    </xf>
    <xf numFmtId="165" fontId="30" fillId="9" borderId="52" xfId="0" applyNumberFormat="1" applyFont="1" applyFill="1" applyBorder="1" applyAlignment="1">
      <alignment horizontal="center"/>
    </xf>
    <xf numFmtId="0" fontId="30" fillId="9" borderId="16" xfId="0" applyFont="1" applyFill="1" applyBorder="1" applyAlignment="1">
      <alignment wrapText="1"/>
    </xf>
    <xf numFmtId="165" fontId="30" fillId="9" borderId="16" xfId="0" applyNumberFormat="1" applyFont="1" applyFill="1" applyBorder="1" applyAlignment="1">
      <alignment horizontal="center"/>
    </xf>
    <xf numFmtId="0" fontId="30" fillId="9" borderId="16" xfId="0" applyFont="1" applyFill="1" applyBorder="1" applyAlignment="1">
      <alignment horizontal="center"/>
    </xf>
    <xf numFmtId="0" fontId="29" fillId="9" borderId="80" xfId="0" applyFont="1" applyFill="1" applyBorder="1" applyAlignment="1">
      <alignment wrapText="1"/>
    </xf>
    <xf numFmtId="0" fontId="29" fillId="9" borderId="51" xfId="0" applyFont="1" applyFill="1" applyBorder="1" applyAlignment="1">
      <alignment wrapText="1"/>
    </xf>
    <xf numFmtId="165" fontId="29" fillId="0" borderId="11" xfId="0" applyNumberFormat="1" applyFont="1" applyBorder="1" applyAlignment="1">
      <alignment horizontal="center"/>
    </xf>
    <xf numFmtId="0" fontId="31" fillId="8" borderId="59" xfId="0" applyFont="1" applyFill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 wrapText="1"/>
    </xf>
    <xf numFmtId="0" fontId="31" fillId="8" borderId="67" xfId="0" applyFont="1" applyFill="1" applyBorder="1" applyAlignment="1">
      <alignment horizontal="center" vertical="center" wrapText="1"/>
    </xf>
    <xf numFmtId="0" fontId="29" fillId="0" borderId="69" xfId="0" applyFont="1" applyBorder="1" applyAlignment="1">
      <alignment horizontal="center" vertical="center"/>
    </xf>
    <xf numFmtId="0" fontId="31" fillId="8" borderId="73" xfId="0" applyFont="1" applyFill="1" applyBorder="1" applyAlignment="1">
      <alignment horizontal="center" vertical="center" wrapText="1"/>
    </xf>
    <xf numFmtId="0" fontId="32" fillId="0" borderId="16" xfId="0" applyFont="1" applyBorder="1" applyAlignment="1">
      <alignment horizontal="left" vertical="top" wrapText="1"/>
    </xf>
    <xf numFmtId="0" fontId="37" fillId="21" borderId="16" xfId="0" applyFont="1" applyFill="1" applyBorder="1" applyAlignment="1">
      <alignment horizontal="center" vertical="center" wrapText="1"/>
    </xf>
    <xf numFmtId="165" fontId="29" fillId="0" borderId="16" xfId="0" applyNumberFormat="1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165" fontId="29" fillId="0" borderId="0" xfId="0" applyNumberFormat="1" applyFont="1" applyAlignment="1">
      <alignment horizontal="center"/>
    </xf>
    <xf numFmtId="0" fontId="29" fillId="0" borderId="79" xfId="0" applyFont="1" applyBorder="1" applyAlignment="1">
      <alignment horizontal="center"/>
    </xf>
    <xf numFmtId="0" fontId="1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vertical="top" wrapText="1"/>
    </xf>
    <xf numFmtId="0" fontId="39" fillId="0" borderId="0" xfId="0" applyFont="1" applyAlignment="1">
      <alignment vertical="top" wrapText="1"/>
    </xf>
    <xf numFmtId="0" fontId="29" fillId="0" borderId="42" xfId="0" applyFont="1" applyBorder="1"/>
    <xf numFmtId="165" fontId="31" fillId="8" borderId="65" xfId="0" applyNumberFormat="1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65" fontId="29" fillId="0" borderId="17" xfId="0" applyNumberFormat="1" applyFont="1" applyBorder="1" applyAlignment="1">
      <alignment horizontal="center"/>
    </xf>
    <xf numFmtId="0" fontId="29" fillId="0" borderId="15" xfId="0" applyFont="1" applyBorder="1" applyAlignment="1">
      <alignment horizontal="center" vertical="center"/>
    </xf>
    <xf numFmtId="0" fontId="30" fillId="7" borderId="11" xfId="0" applyFont="1" applyFill="1" applyBorder="1" applyAlignment="1">
      <alignment horizontal="center" wrapText="1"/>
    </xf>
    <xf numFmtId="165" fontId="31" fillId="14" borderId="36" xfId="0" applyNumberFormat="1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 wrapText="1"/>
    </xf>
    <xf numFmtId="0" fontId="29" fillId="0" borderId="34" xfId="0" applyFont="1" applyBorder="1" applyAlignment="1">
      <alignment horizontal="center" wrapText="1"/>
    </xf>
    <xf numFmtId="0" fontId="29" fillId="0" borderId="44" xfId="0" applyFont="1" applyBorder="1"/>
    <xf numFmtId="165" fontId="29" fillId="5" borderId="44" xfId="0" applyNumberFormat="1" applyFont="1" applyFill="1" applyBorder="1" applyAlignment="1">
      <alignment horizontal="center" vertical="center" wrapText="1"/>
    </xf>
    <xf numFmtId="0" fontId="31" fillId="8" borderId="29" xfId="0" applyFont="1" applyFill="1" applyBorder="1" applyAlignment="1">
      <alignment horizontal="left" vertical="top"/>
    </xf>
    <xf numFmtId="0" fontId="29" fillId="20" borderId="29" xfId="0" applyFont="1" applyFill="1" applyBorder="1" applyAlignment="1">
      <alignment horizontal="left" vertical="top" wrapText="1"/>
    </xf>
    <xf numFmtId="0" fontId="29" fillId="0" borderId="27" xfId="0" applyFont="1" applyBorder="1" applyAlignment="1">
      <alignment horizontal="center" vertical="center" wrapText="1"/>
    </xf>
    <xf numFmtId="0" fontId="35" fillId="21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23" fillId="14" borderId="42" xfId="0" applyFont="1" applyFill="1" applyBorder="1" applyAlignment="1">
      <alignment horizontal="center" readingOrder="1"/>
    </xf>
    <xf numFmtId="0" fontId="24" fillId="0" borderId="46" xfId="0" applyFont="1" applyBorder="1" applyAlignment="1">
      <alignment horizontal="center" readingOrder="1"/>
    </xf>
    <xf numFmtId="0" fontId="26" fillId="15" borderId="46" xfId="0" applyFont="1" applyFill="1" applyBorder="1" applyAlignment="1">
      <alignment horizontal="center" readingOrder="1"/>
    </xf>
    <xf numFmtId="0" fontId="27" fillId="0" borderId="46" xfId="0" applyFont="1" applyBorder="1" applyAlignment="1">
      <alignment horizontal="center" readingOrder="1"/>
    </xf>
    <xf numFmtId="0" fontId="26" fillId="16" borderId="46" xfId="0" applyFont="1" applyFill="1" applyBorder="1" applyAlignment="1">
      <alignment horizontal="center" readingOrder="1"/>
    </xf>
    <xf numFmtId="169" fontId="23" fillId="14" borderId="42" xfId="0" applyNumberFormat="1" applyFont="1" applyFill="1" applyBorder="1" applyAlignment="1">
      <alignment horizontal="center" readingOrder="1"/>
    </xf>
    <xf numFmtId="169" fontId="42" fillId="5" borderId="3" xfId="0" applyNumberFormat="1" applyFont="1" applyFill="1" applyBorder="1" applyAlignment="1">
      <alignment horizontal="center" vertical="top"/>
    </xf>
    <xf numFmtId="169" fontId="26" fillId="15" borderId="46" xfId="0" applyNumberFormat="1" applyFont="1" applyFill="1" applyBorder="1" applyAlignment="1">
      <alignment horizontal="center" readingOrder="1"/>
    </xf>
    <xf numFmtId="169" fontId="25" fillId="0" borderId="46" xfId="0" applyNumberFormat="1" applyFont="1" applyBorder="1" applyAlignment="1">
      <alignment horizontal="center" readingOrder="1"/>
    </xf>
    <xf numFmtId="169" fontId="26" fillId="16" borderId="46" xfId="0" applyNumberFormat="1" applyFont="1" applyFill="1" applyBorder="1" applyAlignment="1">
      <alignment horizontal="center" readingOrder="1"/>
    </xf>
    <xf numFmtId="169" fontId="0" fillId="0" borderId="0" xfId="0" applyNumberFormat="1" applyAlignment="1">
      <alignment horizontal="center"/>
    </xf>
    <xf numFmtId="0" fontId="43" fillId="2" borderId="5" xfId="0" applyFont="1" applyFill="1" applyBorder="1" applyAlignment="1">
      <alignment vertical="top" wrapText="1" readingOrder="1"/>
    </xf>
    <xf numFmtId="0" fontId="44" fillId="0" borderId="3" xfId="0" applyFont="1" applyBorder="1" applyAlignment="1">
      <alignment vertical="top"/>
    </xf>
    <xf numFmtId="164" fontId="45" fillId="11" borderId="4" xfId="0" applyNumberFormat="1" applyFont="1" applyFill="1" applyBorder="1" applyAlignment="1">
      <alignment vertical="top" readingOrder="1"/>
    </xf>
    <xf numFmtId="0" fontId="45" fillId="4" borderId="3" xfId="0" applyFont="1" applyFill="1" applyBorder="1" applyAlignment="1">
      <alignment vertical="top" wrapText="1" readingOrder="1"/>
    </xf>
    <xf numFmtId="0" fontId="45" fillId="0" borderId="3" xfId="0" applyFont="1" applyBorder="1" applyAlignment="1">
      <alignment vertical="top" readingOrder="1"/>
    </xf>
    <xf numFmtId="164" fontId="45" fillId="0" borderId="3" xfId="0" applyNumberFormat="1" applyFont="1" applyBorder="1" applyAlignment="1">
      <alignment vertical="top" readingOrder="1"/>
    </xf>
    <xf numFmtId="0" fontId="44" fillId="0" borderId="3" xfId="0" applyFont="1" applyBorder="1" applyAlignment="1">
      <alignment horizontal="left" vertical="top" wrapText="1"/>
    </xf>
    <xf numFmtId="165" fontId="42" fillId="0" borderId="3" xfId="0" applyNumberFormat="1" applyFont="1" applyBorder="1" applyAlignment="1">
      <alignment horizontal="right" vertical="top"/>
    </xf>
    <xf numFmtId="0" fontId="0" fillId="11" borderId="4" xfId="0" applyFill="1" applyBorder="1" applyAlignment="1">
      <alignment vertical="top" wrapText="1"/>
    </xf>
    <xf numFmtId="165" fontId="5" fillId="11" borderId="3" xfId="0" applyNumberFormat="1" applyFont="1" applyFill="1" applyBorder="1" applyAlignment="1">
      <alignment vertical="top"/>
    </xf>
    <xf numFmtId="164" fontId="6" fillId="11" borderId="3" xfId="0" applyNumberFormat="1" applyFont="1" applyFill="1" applyBorder="1" applyAlignment="1">
      <alignment vertical="top" readingOrder="1"/>
    </xf>
    <xf numFmtId="0" fontId="29" fillId="0" borderId="82" xfId="0" applyFont="1" applyBorder="1" applyAlignment="1">
      <alignment horizontal="center" vertical="center"/>
    </xf>
    <xf numFmtId="0" fontId="32" fillId="0" borderId="40" xfId="0" applyFont="1" applyBorder="1" applyAlignment="1">
      <alignment horizontal="left" vertical="top" wrapText="1"/>
    </xf>
    <xf numFmtId="0" fontId="29" fillId="0" borderId="63" xfId="0" applyFont="1" applyBorder="1"/>
    <xf numFmtId="0" fontId="29" fillId="0" borderId="40" xfId="0" applyFont="1" applyBorder="1" applyAlignment="1">
      <alignment horizontal="center"/>
    </xf>
    <xf numFmtId="165" fontId="29" fillId="0" borderId="83" xfId="0" applyNumberFormat="1" applyFont="1" applyBorder="1" applyAlignment="1">
      <alignment horizontal="center"/>
    </xf>
    <xf numFmtId="0" fontId="29" fillId="0" borderId="15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/>
    </xf>
    <xf numFmtId="0" fontId="29" fillId="0" borderId="32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/>
    </xf>
    <xf numFmtId="168" fontId="0" fillId="0" borderId="0" xfId="0" applyNumberFormat="1" applyAlignment="1">
      <alignment vertical="top"/>
    </xf>
    <xf numFmtId="0" fontId="24" fillId="0" borderId="84" xfId="0" applyFont="1" applyBorder="1" applyAlignment="1">
      <alignment readingOrder="1"/>
    </xf>
    <xf numFmtId="169" fontId="24" fillId="0" borderId="16" xfId="0" applyNumberFormat="1" applyFont="1" applyBorder="1" applyAlignment="1">
      <alignment horizontal="center" readingOrder="1"/>
    </xf>
    <xf numFmtId="0" fontId="24" fillId="0" borderId="16" xfId="0" applyFont="1" applyBorder="1" applyAlignment="1">
      <alignment horizontal="center" readingOrder="1"/>
    </xf>
    <xf numFmtId="169" fontId="42" fillId="5" borderId="16" xfId="0" applyNumberFormat="1" applyFont="1" applyFill="1" applyBorder="1" applyAlignment="1">
      <alignment horizontal="center" vertical="top"/>
    </xf>
    <xf numFmtId="0" fontId="25" fillId="0" borderId="16" xfId="0" applyFont="1" applyBorder="1" applyAlignment="1">
      <alignment horizontal="center" readingOrder="1"/>
    </xf>
    <xf numFmtId="0" fontId="46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40" fillId="0" borderId="0" xfId="0" applyFont="1"/>
    <xf numFmtId="1" fontId="0" fillId="0" borderId="3" xfId="0" applyNumberForma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0" fontId="47" fillId="22" borderId="3" xfId="0" applyFont="1" applyFill="1" applyBorder="1"/>
    <xf numFmtId="0" fontId="7" fillId="22" borderId="3" xfId="0" applyFont="1" applyFill="1" applyBorder="1"/>
    <xf numFmtId="0" fontId="7" fillId="22" borderId="86" xfId="0" applyFont="1" applyFill="1" applyBorder="1"/>
    <xf numFmtId="1" fontId="7" fillId="22" borderId="3" xfId="0" applyNumberFormat="1" applyFont="1" applyFill="1" applyBorder="1"/>
    <xf numFmtId="1" fontId="7" fillId="22" borderId="3" xfId="0" applyNumberFormat="1" applyFont="1" applyFill="1" applyBorder="1" applyAlignment="1">
      <alignment horizontal="center"/>
    </xf>
    <xf numFmtId="1" fontId="7" fillId="22" borderId="86" xfId="0" applyNumberFormat="1" applyFont="1" applyFill="1" applyBorder="1" applyAlignment="1">
      <alignment horizontal="center"/>
    </xf>
    <xf numFmtId="0" fontId="7" fillId="0" borderId="0" xfId="0" applyFont="1"/>
    <xf numFmtId="2" fontId="47" fillId="22" borderId="3" xfId="0" applyNumberFormat="1" applyFont="1" applyFill="1" applyBorder="1"/>
    <xf numFmtId="0" fontId="47" fillId="22" borderId="86" xfId="0" applyFont="1" applyFill="1" applyBorder="1"/>
    <xf numFmtId="0" fontId="0" fillId="0" borderId="3" xfId="0" applyBorder="1" applyAlignment="1">
      <alignment horizontal="right"/>
    </xf>
    <xf numFmtId="1" fontId="0" fillId="0" borderId="4" xfId="0" applyNumberFormat="1" applyBorder="1" applyAlignment="1">
      <alignment horizontal="center"/>
    </xf>
    <xf numFmtId="0" fontId="7" fillId="22" borderId="4" xfId="0" applyFont="1" applyFill="1" applyBorder="1"/>
    <xf numFmtId="0" fontId="0" fillId="0" borderId="87" xfId="0" applyBorder="1" applyAlignment="1">
      <alignment vertical="center" wrapText="1"/>
    </xf>
    <xf numFmtId="0" fontId="1" fillId="0" borderId="87" xfId="0" applyFont="1" applyBorder="1" applyAlignment="1">
      <alignment horizontal="center" vertical="center" wrapText="1"/>
    </xf>
    <xf numFmtId="0" fontId="1" fillId="0" borderId="87" xfId="0" applyFont="1" applyBorder="1" applyAlignment="1">
      <alignment vertical="center" wrapText="1"/>
    </xf>
    <xf numFmtId="0" fontId="0" fillId="0" borderId="87" xfId="0" applyBorder="1"/>
    <xf numFmtId="0" fontId="0" fillId="0" borderId="87" xfId="0" applyBorder="1" applyAlignment="1">
      <alignment horizontal="left"/>
    </xf>
    <xf numFmtId="1" fontId="0" fillId="0" borderId="87" xfId="0" applyNumberFormat="1" applyBorder="1" applyAlignment="1">
      <alignment horizontal="center"/>
    </xf>
    <xf numFmtId="170" fontId="0" fillId="0" borderId="87" xfId="0" applyNumberFormat="1" applyBorder="1" applyAlignment="1">
      <alignment horizontal="right"/>
    </xf>
    <xf numFmtId="0" fontId="1" fillId="0" borderId="87" xfId="0" applyFont="1" applyBorder="1" applyAlignment="1">
      <alignment horizontal="left"/>
    </xf>
    <xf numFmtId="1" fontId="1" fillId="0" borderId="87" xfId="0" applyNumberFormat="1" applyFont="1" applyBorder="1" applyAlignment="1">
      <alignment horizontal="center"/>
    </xf>
    <xf numFmtId="170" fontId="1" fillId="0" borderId="87" xfId="0" applyNumberFormat="1" applyFont="1" applyBorder="1" applyAlignment="1">
      <alignment horizontal="right"/>
    </xf>
    <xf numFmtId="0" fontId="40" fillId="0" borderId="87" xfId="0" applyFont="1" applyBorder="1"/>
    <xf numFmtId="0" fontId="7" fillId="0" borderId="87" xfId="0" applyFont="1" applyBorder="1"/>
    <xf numFmtId="0" fontId="0" fillId="0" borderId="87" xfId="0" applyBorder="1" applyAlignment="1">
      <alignment horizontal="center"/>
    </xf>
    <xf numFmtId="0" fontId="1" fillId="0" borderId="87" xfId="0" applyFont="1" applyBorder="1"/>
    <xf numFmtId="0" fontId="1" fillId="0" borderId="87" xfId="0" applyFont="1" applyBorder="1" applyAlignment="1">
      <alignment horizontal="center"/>
    </xf>
    <xf numFmtId="1" fontId="1" fillId="11" borderId="87" xfId="0" applyNumberFormat="1" applyFont="1" applyFill="1" applyBorder="1" applyAlignment="1">
      <alignment horizontal="center"/>
    </xf>
    <xf numFmtId="170" fontId="1" fillId="11" borderId="87" xfId="0" applyNumberFormat="1" applyFont="1" applyFill="1" applyBorder="1" applyAlignment="1">
      <alignment horizontal="right"/>
    </xf>
    <xf numFmtId="1" fontId="0" fillId="0" borderId="0" xfId="0" applyNumberFormat="1"/>
    <xf numFmtId="0" fontId="0" fillId="0" borderId="16" xfId="0" applyBorder="1" applyAlignment="1">
      <alignment vertical="top"/>
    </xf>
    <xf numFmtId="0" fontId="4" fillId="3" borderId="16" xfId="0" applyFont="1" applyFill="1" applyBorder="1" applyAlignment="1">
      <alignment vertical="top" wrapText="1" readingOrder="1"/>
    </xf>
    <xf numFmtId="0" fontId="1" fillId="0" borderId="16" xfId="0" applyFont="1" applyBorder="1" applyAlignment="1">
      <alignment vertical="top"/>
    </xf>
    <xf numFmtId="0" fontId="0" fillId="23" borderId="16" xfId="0" applyFill="1" applyBorder="1"/>
    <xf numFmtId="0" fontId="1" fillId="0" borderId="16" xfId="0" applyFont="1" applyBorder="1" applyAlignment="1">
      <alignment horizontal="center" vertical="top"/>
    </xf>
    <xf numFmtId="0" fontId="0" fillId="0" borderId="40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45" xfId="0" applyBorder="1" applyAlignment="1">
      <alignment horizontal="center"/>
    </xf>
    <xf numFmtId="0" fontId="31" fillId="14" borderId="34" xfId="0" applyFont="1" applyFill="1" applyBorder="1" applyAlignment="1">
      <alignment horizontal="center"/>
    </xf>
    <xf numFmtId="0" fontId="31" fillId="14" borderId="35" xfId="0" applyFont="1" applyFill="1" applyBorder="1" applyAlignment="1">
      <alignment horizont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30" fillId="7" borderId="53" xfId="0" applyFont="1" applyFill="1" applyBorder="1" applyAlignment="1">
      <alignment wrapText="1"/>
    </xf>
    <xf numFmtId="0" fontId="30" fillId="7" borderId="54" xfId="0" applyFont="1" applyFill="1" applyBorder="1" applyAlignment="1">
      <alignment wrapText="1"/>
    </xf>
    <xf numFmtId="0" fontId="30" fillId="7" borderId="55" xfId="0" applyFont="1" applyFill="1" applyBorder="1" applyAlignment="1">
      <alignment wrapText="1"/>
    </xf>
    <xf numFmtId="0" fontId="33" fillId="17" borderId="48" xfId="0" applyFont="1" applyFill="1" applyBorder="1" applyAlignment="1">
      <alignment wrapText="1"/>
    </xf>
    <xf numFmtId="0" fontId="33" fillId="17" borderId="49" xfId="0" applyFont="1" applyFill="1" applyBorder="1" applyAlignment="1">
      <alignment wrapText="1"/>
    </xf>
    <xf numFmtId="0" fontId="33" fillId="17" borderId="50" xfId="0" applyFont="1" applyFill="1" applyBorder="1" applyAlignment="1">
      <alignment wrapText="1"/>
    </xf>
    <xf numFmtId="0" fontId="28" fillId="0" borderId="76" xfId="0" applyFont="1" applyBorder="1" applyAlignment="1">
      <alignment horizontal="center" vertical="center" wrapText="1"/>
    </xf>
    <xf numFmtId="0" fontId="28" fillId="0" borderId="77" xfId="0" applyFont="1" applyBorder="1" applyAlignment="1">
      <alignment horizontal="center" vertical="center" wrapText="1"/>
    </xf>
    <xf numFmtId="0" fontId="28" fillId="0" borderId="81" xfId="0" applyFont="1" applyBorder="1" applyAlignment="1">
      <alignment horizontal="center" vertical="center" wrapText="1"/>
    </xf>
    <xf numFmtId="0" fontId="30" fillId="7" borderId="10" xfId="0" applyFont="1" applyFill="1" applyBorder="1" applyAlignment="1">
      <alignment horizontal="center" wrapText="1"/>
    </xf>
    <xf numFmtId="0" fontId="30" fillId="7" borderId="0" xfId="0" applyFont="1" applyFill="1" applyAlignment="1">
      <alignment horizontal="center" wrapText="1"/>
    </xf>
    <xf numFmtId="0" fontId="30" fillId="7" borderId="11" xfId="0" applyFont="1" applyFill="1" applyBorder="1" applyAlignment="1">
      <alignment horizontal="center" wrapText="1"/>
    </xf>
    <xf numFmtId="0" fontId="34" fillId="19" borderId="75" xfId="0" applyFont="1" applyFill="1" applyBorder="1" applyAlignment="1">
      <alignment horizontal="center"/>
    </xf>
    <xf numFmtId="0" fontId="35" fillId="18" borderId="16" xfId="0" applyFont="1" applyFill="1" applyBorder="1" applyAlignment="1">
      <alignment horizontal="center" vertical="center"/>
    </xf>
    <xf numFmtId="0" fontId="41" fillId="21" borderId="16" xfId="0" applyFont="1" applyFill="1" applyBorder="1" applyAlignment="1">
      <alignment horizontal="center" vertical="center"/>
    </xf>
    <xf numFmtId="0" fontId="38" fillId="0" borderId="76" xfId="0" applyFont="1" applyBorder="1" applyAlignment="1">
      <alignment wrapText="1"/>
    </xf>
    <xf numFmtId="0" fontId="38" fillId="0" borderId="77" xfId="0" applyFont="1" applyBorder="1" applyAlignment="1">
      <alignment wrapText="1"/>
    </xf>
    <xf numFmtId="0" fontId="31" fillId="14" borderId="7" xfId="0" applyFont="1" applyFill="1" applyBorder="1" applyAlignment="1">
      <alignment horizontal="center"/>
    </xf>
    <xf numFmtId="0" fontId="31" fillId="14" borderId="8" xfId="0" applyFont="1" applyFill="1" applyBorder="1" applyAlignment="1">
      <alignment horizontal="center"/>
    </xf>
    <xf numFmtId="0" fontId="17" fillId="7" borderId="15" xfId="0" applyFont="1" applyFill="1" applyBorder="1" applyAlignment="1">
      <alignment horizontal="center" wrapText="1"/>
    </xf>
    <xf numFmtId="0" fontId="17" fillId="7" borderId="16" xfId="0" applyFont="1" applyFill="1" applyBorder="1" applyAlignment="1">
      <alignment horizontal="center" wrapText="1"/>
    </xf>
    <xf numFmtId="0" fontId="17" fillId="7" borderId="17" xfId="0" applyFont="1" applyFill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7" fillId="7" borderId="12" xfId="0" applyFont="1" applyFill="1" applyBorder="1" applyAlignment="1">
      <alignment wrapText="1"/>
    </xf>
    <xf numFmtId="0" fontId="17" fillId="7" borderId="13" xfId="0" applyFont="1" applyFill="1" applyBorder="1" applyAlignment="1">
      <alignment wrapText="1"/>
    </xf>
    <xf numFmtId="0" fontId="17" fillId="7" borderId="14" xfId="0" applyFont="1" applyFill="1" applyBorder="1" applyAlignment="1">
      <alignment wrapText="1"/>
    </xf>
    <xf numFmtId="0" fontId="17" fillId="7" borderId="24" xfId="0" applyFont="1" applyFill="1" applyBorder="1" applyAlignment="1">
      <alignment wrapText="1"/>
    </xf>
    <xf numFmtId="0" fontId="17" fillId="7" borderId="25" xfId="0" applyFont="1" applyFill="1" applyBorder="1" applyAlignment="1">
      <alignment wrapText="1"/>
    </xf>
    <xf numFmtId="0" fontId="17" fillId="7" borderId="26" xfId="0" applyFont="1" applyFill="1" applyBorder="1" applyAlignment="1">
      <alignment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wrapText="1"/>
    </xf>
    <xf numFmtId="0" fontId="17" fillId="7" borderId="13" xfId="0" applyFont="1" applyFill="1" applyBorder="1" applyAlignment="1">
      <alignment horizontal="center" wrapText="1"/>
    </xf>
    <xf numFmtId="0" fontId="17" fillId="7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" fontId="0" fillId="0" borderId="85" xfId="0" applyNumberFormat="1" applyBorder="1" applyAlignment="1">
      <alignment horizontal="center" vertical="center"/>
    </xf>
    <xf numFmtId="1" fontId="0" fillId="0" borderId="79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1" xfId="0" applyBorder="1" applyAlignment="1">
      <alignment horizontal="center" wrapText="1"/>
    </xf>
    <xf numFmtId="0" fontId="0" fillId="0" borderId="54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16" fillId="17" borderId="1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itgroupo365-my.sharepoint.com/personal/sowmya_vivek_meritgroup_co_uk/Documents/onedrive_backup/Phaidon_PoC/estimation/Merit_Estimation_Phaidon-%20V5.0.xlsx" TargetMode="External"/><Relationship Id="rId1" Type="http://schemas.openxmlformats.org/officeDocument/2006/relationships/externalLinkPath" Target="/personal/sowmya_vivek_meritgroup_co_uk/Documents/onedrive_backup/Phaidon_PoC/estimation/Merit_Estimation_Phaidon-%20V5.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itgroupo365-my.sharepoint.com/personal/sowmya_vivek_meritgroup_co_uk/Documents/onedrive_backup/SFA_Oxford/SFA_estimate_V01.xlsx" TargetMode="External"/><Relationship Id="rId1" Type="http://schemas.openxmlformats.org/officeDocument/2006/relationships/externalLinkPath" Target="/personal/sowmya_vivek_meritgroup_co_uk/Documents/onedrive_backup/SFA_Oxford/SFA_estimate_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 Costs "/>
      <sheetName val="Estimation Summary "/>
      <sheetName val="Resource Loading"/>
      <sheetName val="pricing_estimate_AIML"/>
      <sheetName val="Scraping"/>
      <sheetName val="effort_estimation_rolewise"/>
      <sheetName val="rolewise_breakup"/>
      <sheetName val="Web Application"/>
      <sheetName val="Rate Card"/>
      <sheetName val="AIML_milestones"/>
      <sheetName val="Dashboard for internal"/>
    </sheetNames>
    <sheetDataSet>
      <sheetData sheetId="0" refreshError="1"/>
      <sheetData sheetId="1" refreshError="1"/>
      <sheetData sheetId="2" refreshError="1"/>
      <sheetData sheetId="3">
        <row r="52">
          <cell r="D52">
            <v>23509.5</v>
          </cell>
        </row>
        <row r="70">
          <cell r="B70">
            <v>807.09999999999991</v>
          </cell>
        </row>
      </sheetData>
      <sheetData sheetId="4">
        <row r="22">
          <cell r="F22">
            <v>1578</v>
          </cell>
          <cell r="H22">
            <v>53500</v>
          </cell>
        </row>
        <row r="31">
          <cell r="F31">
            <v>1190</v>
          </cell>
        </row>
        <row r="45">
          <cell r="F45">
            <v>8190</v>
          </cell>
        </row>
      </sheetData>
      <sheetData sheetId="5" refreshError="1"/>
      <sheetData sheetId="6" refreshError="1"/>
      <sheetData sheetId="7">
        <row r="46">
          <cell r="B46">
            <v>807.48</v>
          </cell>
          <cell r="D46">
            <v>21214.12</v>
          </cell>
        </row>
      </sheetData>
      <sheetData sheetId="8">
        <row r="3">
          <cell r="B3">
            <v>30</v>
          </cell>
        </row>
        <row r="4">
          <cell r="B4">
            <v>20</v>
          </cell>
        </row>
        <row r="5">
          <cell r="B5">
            <v>30</v>
          </cell>
        </row>
        <row r="7">
          <cell r="F7">
            <v>20</v>
          </cell>
        </row>
        <row r="8">
          <cell r="F8">
            <v>23</v>
          </cell>
        </row>
      </sheetData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igt5WcFZQkGtGZbX4niLpx-I-3sCPPlOhN3sQGw8qs4WVF5kYfmIQ5irJXy4DpMM" itemId="01UU5Z5LFYZCTVKZFOBBGKXVG3BJBE4P5W">
      <xxl21:absoluteUrl r:id="rId2"/>
    </xxl21:alternateUrls>
    <sheetNames>
      <sheetName val="conv_factor"/>
      <sheetName val="Scope"/>
      <sheetName val="field list"/>
      <sheetName val="AIML_cost"/>
      <sheetName val="source_URLs"/>
      <sheetName val="Scraper complexity levels"/>
      <sheetName val="Sheet1"/>
      <sheetName val="Scraper_Estimation"/>
      <sheetName val="Consolidated Sheet"/>
      <sheetName val="Sheet2"/>
      <sheetName val="Project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3">
          <cell r="C83">
            <v>640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7F76-B491-496A-9271-C821514BFB23}">
  <dimension ref="A1:C16"/>
  <sheetViews>
    <sheetView workbookViewId="0">
      <selection activeCell="B5" sqref="B5"/>
    </sheetView>
  </sheetViews>
  <sheetFormatPr defaultColWidth="9" defaultRowHeight="14.25"/>
  <cols>
    <col min="1" max="1" width="9" style="36"/>
    <col min="2" max="2" width="39.5703125" style="36" bestFit="1" customWidth="1"/>
    <col min="3" max="3" width="59.5703125" style="36" customWidth="1"/>
    <col min="4" max="16384" width="9" style="36"/>
  </cols>
  <sheetData>
    <row r="1" spans="1:3">
      <c r="A1" s="36" t="s">
        <v>0</v>
      </c>
      <c r="B1" s="2" t="s">
        <v>1</v>
      </c>
      <c r="C1" s="2" t="s">
        <v>2</v>
      </c>
    </row>
    <row r="2" spans="1:3" ht="28.5">
      <c r="A2" s="36" t="s">
        <v>3</v>
      </c>
      <c r="B2" s="127" t="s">
        <v>4</v>
      </c>
      <c r="C2" s="14" t="s">
        <v>5</v>
      </c>
    </row>
    <row r="3" spans="1:3" ht="28.5">
      <c r="A3" s="36" t="s">
        <v>3</v>
      </c>
      <c r="B3" s="127" t="s">
        <v>6</v>
      </c>
      <c r="C3" s="14" t="s">
        <v>7</v>
      </c>
    </row>
    <row r="4" spans="1:3" ht="28.5">
      <c r="A4" s="36" t="s">
        <v>3</v>
      </c>
      <c r="B4" s="127" t="s">
        <v>8</v>
      </c>
      <c r="C4" s="14" t="s">
        <v>9</v>
      </c>
    </row>
    <row r="5" spans="1:3" ht="28.5">
      <c r="A5" s="36" t="s">
        <v>3</v>
      </c>
      <c r="B5" s="127" t="s">
        <v>10</v>
      </c>
      <c r="C5" s="14" t="s">
        <v>11</v>
      </c>
    </row>
    <row r="6" spans="1:3" ht="28.5">
      <c r="A6" s="36" t="s">
        <v>3</v>
      </c>
      <c r="B6" s="127" t="s">
        <v>12</v>
      </c>
      <c r="C6" s="14" t="s">
        <v>13</v>
      </c>
    </row>
    <row r="7" spans="1:3" ht="28.5">
      <c r="A7" s="36" t="s">
        <v>14</v>
      </c>
      <c r="B7" s="127" t="s">
        <v>15</v>
      </c>
      <c r="C7" s="14" t="s">
        <v>16</v>
      </c>
    </row>
    <row r="8" spans="1:3" ht="28.5">
      <c r="A8" s="36" t="s">
        <v>14</v>
      </c>
      <c r="B8" s="127" t="s">
        <v>17</v>
      </c>
      <c r="C8" s="14" t="s">
        <v>18</v>
      </c>
    </row>
    <row r="9" spans="1:3" ht="28.5">
      <c r="A9" s="36" t="s">
        <v>14</v>
      </c>
      <c r="B9" s="127" t="s">
        <v>19</v>
      </c>
      <c r="C9" s="14" t="s">
        <v>20</v>
      </c>
    </row>
    <row r="10" spans="1:3" ht="28.5">
      <c r="A10" s="36" t="s">
        <v>14</v>
      </c>
      <c r="B10" s="127" t="s">
        <v>21</v>
      </c>
      <c r="C10" s="14" t="s">
        <v>22</v>
      </c>
    </row>
    <row r="11" spans="1:3">
      <c r="A11" s="36" t="s">
        <v>14</v>
      </c>
      <c r="B11" s="127" t="s">
        <v>23</v>
      </c>
      <c r="C11" s="14" t="s">
        <v>24</v>
      </c>
    </row>
    <row r="12" spans="1:3" ht="28.5">
      <c r="A12" s="36" t="s">
        <v>14</v>
      </c>
      <c r="B12" s="127" t="s">
        <v>25</v>
      </c>
      <c r="C12" s="14" t="s">
        <v>26</v>
      </c>
    </row>
    <row r="13" spans="1:3" ht="28.5">
      <c r="A13" s="36" t="s">
        <v>14</v>
      </c>
      <c r="B13" s="127" t="s">
        <v>27</v>
      </c>
      <c r="C13" s="14" t="s">
        <v>28</v>
      </c>
    </row>
    <row r="14" spans="1:3" ht="28.5">
      <c r="A14" s="36" t="s">
        <v>14</v>
      </c>
      <c r="B14" s="127" t="s">
        <v>29</v>
      </c>
      <c r="C14" s="14" t="s">
        <v>30</v>
      </c>
    </row>
    <row r="15" spans="1:3" ht="28.5">
      <c r="A15" s="36" t="s">
        <v>14</v>
      </c>
      <c r="B15" s="127" t="s">
        <v>31</v>
      </c>
      <c r="C15" s="14" t="s">
        <v>32</v>
      </c>
    </row>
    <row r="16" spans="1:3" ht="28.5">
      <c r="A16" s="36" t="s">
        <v>14</v>
      </c>
      <c r="B16" s="127" t="s">
        <v>33</v>
      </c>
      <c r="C16" s="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7B39-AAB1-45E6-8357-C93A2314E0A6}">
  <dimension ref="A1:L39"/>
  <sheetViews>
    <sheetView topLeftCell="A6" workbookViewId="0">
      <selection activeCell="F17" sqref="F17"/>
    </sheetView>
  </sheetViews>
  <sheetFormatPr defaultRowHeight="14.25"/>
  <cols>
    <col min="1" max="1" width="64.140625" customWidth="1"/>
    <col min="2" max="2" width="27.42578125" style="287" customWidth="1"/>
    <col min="3" max="3" width="25.28515625" style="169" customWidth="1"/>
    <col min="6" max="6" width="29.85546875" customWidth="1"/>
    <col min="7" max="7" width="9.140625" bestFit="1" customWidth="1"/>
  </cols>
  <sheetData>
    <row r="1" spans="1:12" ht="15.4">
      <c r="A1" s="142" t="s">
        <v>35</v>
      </c>
      <c r="B1" s="282" t="s">
        <v>36</v>
      </c>
      <c r="C1" s="277" t="s">
        <v>37</v>
      </c>
      <c r="F1" s="36"/>
      <c r="G1" s="36"/>
      <c r="H1" s="36"/>
    </row>
    <row r="2" spans="1:12" ht="15.4">
      <c r="A2" s="309" t="s">
        <v>38</v>
      </c>
      <c r="B2" s="310" t="s">
        <v>39</v>
      </c>
      <c r="C2" s="311" t="s">
        <v>40</v>
      </c>
      <c r="F2" s="143" t="s">
        <v>38</v>
      </c>
      <c r="G2" s="36"/>
      <c r="H2" s="36"/>
      <c r="J2" t="s">
        <v>41</v>
      </c>
      <c r="K2" t="s">
        <v>42</v>
      </c>
      <c r="L2" t="s">
        <v>43</v>
      </c>
    </row>
    <row r="3" spans="1:12" ht="15.4">
      <c r="A3" s="309" t="s">
        <v>44</v>
      </c>
      <c r="B3" s="312">
        <f>SUM(G3:L3)</f>
        <v>3474.8999999999996</v>
      </c>
      <c r="C3" s="311" t="s">
        <v>45</v>
      </c>
      <c r="F3" s="143" t="s">
        <v>44</v>
      </c>
      <c r="G3" s="36">
        <v>2200</v>
      </c>
      <c r="H3" s="36">
        <v>880</v>
      </c>
      <c r="J3">
        <f>0.1*G14</f>
        <v>150.20000000000002</v>
      </c>
      <c r="K3">
        <f>0.1*G18</f>
        <v>184.54000000000016</v>
      </c>
      <c r="L3">
        <f>0.1*H18</f>
        <v>60.160000000000039</v>
      </c>
    </row>
    <row r="4" spans="1:12" ht="15.4">
      <c r="A4" s="309" t="s">
        <v>46</v>
      </c>
      <c r="B4" s="312">
        <f>SUM(G4:L4)</f>
        <v>2376</v>
      </c>
      <c r="C4" s="311" t="s">
        <v>45</v>
      </c>
      <c r="F4" s="143" t="s">
        <v>46</v>
      </c>
      <c r="G4" s="36" t="s">
        <v>47</v>
      </c>
      <c r="H4" s="36">
        <v>2376</v>
      </c>
    </row>
    <row r="5" spans="1:12" ht="22.15">
      <c r="A5" s="309" t="s">
        <v>48</v>
      </c>
      <c r="B5" s="312">
        <f>SUM(G5:L5)</f>
        <v>9414.5</v>
      </c>
      <c r="C5" s="313" t="s">
        <v>45</v>
      </c>
      <c r="F5" s="143" t="s">
        <v>48</v>
      </c>
      <c r="G5" s="36">
        <v>7440</v>
      </c>
      <c r="H5" s="36"/>
      <c r="J5">
        <f>0.5*G14</f>
        <v>751</v>
      </c>
      <c r="K5">
        <f>0.5*G18</f>
        <v>922.70000000000073</v>
      </c>
      <c r="L5">
        <f>0.5*H18</f>
        <v>300.80000000000018</v>
      </c>
    </row>
    <row r="6" spans="1:12" ht="22.15">
      <c r="A6" s="309" t="s">
        <v>49</v>
      </c>
      <c r="B6" s="312">
        <f>SUM(G6:L6)</f>
        <v>3878.6000000000004</v>
      </c>
      <c r="C6" s="313" t="s">
        <v>45</v>
      </c>
      <c r="F6" s="143" t="s">
        <v>49</v>
      </c>
      <c r="G6" s="36">
        <v>2500</v>
      </c>
      <c r="H6" s="36">
        <v>739</v>
      </c>
      <c r="J6">
        <f>0.1*G14</f>
        <v>150.20000000000002</v>
      </c>
      <c r="K6">
        <f>0.2*G18</f>
        <v>369.08000000000033</v>
      </c>
      <c r="L6">
        <f>0.2*H18</f>
        <v>120.32000000000008</v>
      </c>
    </row>
    <row r="7" spans="1:12" ht="22.15">
      <c r="A7" s="309" t="s">
        <v>50</v>
      </c>
      <c r="B7" s="312">
        <f>SUM(G7:L7)</f>
        <v>704</v>
      </c>
      <c r="C7" s="313" t="s">
        <v>45</v>
      </c>
      <c r="F7" s="143" t="s">
        <v>50</v>
      </c>
      <c r="G7" s="36"/>
      <c r="H7" s="36">
        <v>704</v>
      </c>
    </row>
    <row r="8" spans="1:12" ht="15.4">
      <c r="A8" s="309" t="s">
        <v>51</v>
      </c>
      <c r="B8" s="312">
        <f>SUM(G8:L8)</f>
        <v>4021.8000000000006</v>
      </c>
      <c r="C8" s="311" t="s">
        <v>45</v>
      </c>
      <c r="F8" s="143" t="s">
        <v>51</v>
      </c>
      <c r="G8" s="36">
        <v>2880</v>
      </c>
      <c r="H8" s="36">
        <v>352</v>
      </c>
      <c r="J8">
        <f>0.2*G14</f>
        <v>300.40000000000003</v>
      </c>
      <c r="K8">
        <f>0.2*G18</f>
        <v>369.08000000000033</v>
      </c>
      <c r="L8">
        <f>0.2*H18</f>
        <v>120.32000000000008</v>
      </c>
    </row>
    <row r="9" spans="1:12" ht="15.4">
      <c r="A9" s="309" t="s">
        <v>52</v>
      </c>
      <c r="B9" s="312" t="s">
        <v>39</v>
      </c>
      <c r="C9" s="311" t="s">
        <v>45</v>
      </c>
      <c r="F9" s="143" t="s">
        <v>52</v>
      </c>
      <c r="G9" s="36" t="s">
        <v>39</v>
      </c>
      <c r="H9" s="36" t="s">
        <v>39</v>
      </c>
    </row>
    <row r="10" spans="1:12" ht="15.4">
      <c r="A10" s="143" t="s">
        <v>53</v>
      </c>
      <c r="B10" s="283" t="s">
        <v>39</v>
      </c>
      <c r="C10" s="278" t="s">
        <v>45</v>
      </c>
      <c r="F10" s="143" t="s">
        <v>53</v>
      </c>
      <c r="G10" s="36" t="s">
        <v>39</v>
      </c>
      <c r="H10" s="36" t="s">
        <v>39</v>
      </c>
    </row>
    <row r="11" spans="1:12" ht="15.75">
      <c r="A11" s="144" t="s">
        <v>54</v>
      </c>
      <c r="B11" s="284">
        <f>SUM(B2:B10)</f>
        <v>23869.8</v>
      </c>
      <c r="C11" s="279"/>
      <c r="F11" s="36" t="s">
        <v>55</v>
      </c>
      <c r="G11" s="36">
        <v>1502</v>
      </c>
      <c r="H11" s="36">
        <v>505</v>
      </c>
    </row>
    <row r="12" spans="1:12" ht="22.15">
      <c r="A12" s="145" t="s">
        <v>45</v>
      </c>
      <c r="B12" s="285" t="s">
        <v>45</v>
      </c>
      <c r="C12" s="280" t="s">
        <v>45</v>
      </c>
      <c r="F12" s="36" t="s">
        <v>56</v>
      </c>
      <c r="G12" s="36">
        <v>430</v>
      </c>
      <c r="H12" s="36">
        <v>460</v>
      </c>
    </row>
    <row r="13" spans="1:12" ht="15.75">
      <c r="A13" s="144" t="s">
        <v>55</v>
      </c>
      <c r="B13" s="284">
        <f>SUM(G11:H11)</f>
        <v>2007</v>
      </c>
      <c r="C13" s="279"/>
      <c r="F13" s="36"/>
      <c r="G13" s="36">
        <f>SUM(G2:G12)</f>
        <v>16952</v>
      </c>
      <c r="H13" s="36">
        <f>SUM(H2:H12)</f>
        <v>6016</v>
      </c>
    </row>
    <row r="14" spans="1:12">
      <c r="F14" t="s">
        <v>57</v>
      </c>
      <c r="G14">
        <v>1502</v>
      </c>
    </row>
    <row r="15" spans="1:12" ht="15.75">
      <c r="A15" s="144" t="s">
        <v>58</v>
      </c>
      <c r="B15" s="284">
        <f>SUM(G12:H12)</f>
        <v>890</v>
      </c>
      <c r="C15" s="279" t="s">
        <v>59</v>
      </c>
      <c r="F15" t="s">
        <v>60</v>
      </c>
      <c r="G15">
        <f>SUM(G3:G12,G14)</f>
        <v>18454</v>
      </c>
      <c r="H15">
        <f>SUM(H3:H12)</f>
        <v>6016</v>
      </c>
    </row>
    <row r="16" spans="1:12" ht="22.15">
      <c r="A16" s="145" t="s">
        <v>45</v>
      </c>
      <c r="B16" s="285" t="s">
        <v>45</v>
      </c>
      <c r="C16" s="280" t="s">
        <v>45</v>
      </c>
      <c r="F16" t="s">
        <v>61</v>
      </c>
      <c r="G16">
        <f>G15*1.1</f>
        <v>20299.400000000001</v>
      </c>
      <c r="H16">
        <f>H15*110%</f>
        <v>6617.6</v>
      </c>
    </row>
    <row r="17" spans="1:8" ht="15.75">
      <c r="A17" s="146" t="s">
        <v>62</v>
      </c>
      <c r="B17" s="286">
        <f>SUM(B11,B13,B15)</f>
        <v>26766.799999999999</v>
      </c>
      <c r="C17" s="281"/>
      <c r="F17" t="s">
        <v>63</v>
      </c>
    </row>
    <row r="18" spans="1:8">
      <c r="F18" t="s">
        <v>64</v>
      </c>
      <c r="G18">
        <f>G16-G15</f>
        <v>1845.4000000000015</v>
      </c>
      <c r="H18">
        <f>H16-H15</f>
        <v>601.60000000000036</v>
      </c>
    </row>
    <row r="23" spans="1:8" ht="42.75">
      <c r="A23" s="288" t="s">
        <v>65</v>
      </c>
      <c r="B23" s="288"/>
      <c r="C23" s="288"/>
      <c r="D23" s="288"/>
      <c r="E23" s="288"/>
      <c r="F23" s="288"/>
    </row>
    <row r="24" spans="1:8">
      <c r="A24" s="24" t="s">
        <v>66</v>
      </c>
      <c r="B24" s="24"/>
      <c r="C24" s="24"/>
      <c r="D24" s="24"/>
      <c r="E24" s="24"/>
      <c r="F24" s="25">
        <f>SUM(F25,F29)</f>
        <v>430</v>
      </c>
    </row>
    <row r="25" spans="1:8" ht="42.75">
      <c r="A25" s="138" t="s">
        <v>67</v>
      </c>
      <c r="B25" s="289" t="s">
        <v>68</v>
      </c>
      <c r="C25" s="26"/>
      <c r="D25" s="34"/>
      <c r="E25" s="34"/>
      <c r="F25" s="290">
        <v>320</v>
      </c>
    </row>
    <row r="26" spans="1:8">
      <c r="A26" s="30" t="s">
        <v>69</v>
      </c>
      <c r="B26" s="28"/>
      <c r="C26" s="28"/>
      <c r="D26" s="34"/>
      <c r="E26" s="34"/>
      <c r="F26" s="34"/>
    </row>
    <row r="27" spans="1:8" ht="28.5">
      <c r="A27" s="291" t="s">
        <v>70</v>
      </c>
      <c r="B27" s="28"/>
      <c r="C27" s="28"/>
      <c r="D27" s="34"/>
      <c r="E27" s="34"/>
      <c r="F27" s="33">
        <v>0.11</v>
      </c>
    </row>
    <row r="28" spans="1:8">
      <c r="A28" s="34" t="s">
        <v>71</v>
      </c>
      <c r="B28" s="28"/>
      <c r="C28" s="28"/>
      <c r="D28" s="14">
        <v>0</v>
      </c>
      <c r="E28" s="34"/>
      <c r="F28" s="35">
        <v>1000</v>
      </c>
    </row>
    <row r="29" spans="1:8">
      <c r="A29" s="34" t="s">
        <v>72</v>
      </c>
      <c r="B29" s="292"/>
      <c r="C29" s="292"/>
      <c r="D29" s="34"/>
      <c r="E29" s="34"/>
      <c r="F29" s="293">
        <f>F28*F27</f>
        <v>110</v>
      </c>
    </row>
    <row r="30" spans="1:8">
      <c r="A30" s="36"/>
      <c r="B30" s="36"/>
      <c r="C30" s="36"/>
      <c r="D30" s="36"/>
      <c r="E30" s="36"/>
      <c r="F30" s="36"/>
    </row>
    <row r="31" spans="1:8">
      <c r="A31" s="36"/>
      <c r="B31" s="36"/>
      <c r="C31" s="36"/>
      <c r="D31" s="36"/>
      <c r="E31" s="36"/>
      <c r="F31" s="36"/>
    </row>
    <row r="32" spans="1:8">
      <c r="A32" s="116" t="s">
        <v>73</v>
      </c>
      <c r="B32" s="116"/>
      <c r="C32" s="116"/>
      <c r="D32" s="116"/>
      <c r="E32" s="116"/>
      <c r="F32" s="116"/>
    </row>
    <row r="33" spans="1:6" ht="42.75">
      <c r="A33" s="291" t="s">
        <v>74</v>
      </c>
      <c r="B33" s="1"/>
      <c r="C33" s="1"/>
      <c r="D33" s="38"/>
      <c r="E33" s="34"/>
      <c r="F33" s="38">
        <f>F27</f>
        <v>0.11</v>
      </c>
    </row>
    <row r="34" spans="1:6">
      <c r="A34" s="34" t="s">
        <v>75</v>
      </c>
      <c r="B34" s="34"/>
      <c r="C34" s="34"/>
      <c r="D34" s="35"/>
      <c r="E34" s="34"/>
      <c r="F34" s="35">
        <f>F28</f>
        <v>1000</v>
      </c>
    </row>
    <row r="35" spans="1:6">
      <c r="A35" s="34" t="s">
        <v>76</v>
      </c>
      <c r="B35" s="34"/>
      <c r="C35" s="34"/>
      <c r="D35" s="293"/>
      <c r="E35" s="34"/>
      <c r="F35" s="293">
        <f>F34*F33</f>
        <v>110</v>
      </c>
    </row>
    <row r="36" spans="1:6">
      <c r="A36" s="294" t="s">
        <v>77</v>
      </c>
      <c r="B36" s="1">
        <v>30</v>
      </c>
      <c r="C36" s="1">
        <f>'[1]Rate Card'!$B$3</f>
        <v>30</v>
      </c>
      <c r="D36" s="40"/>
      <c r="E36" s="34"/>
      <c r="F36" s="139">
        <f>3500*0.25</f>
        <v>875</v>
      </c>
    </row>
    <row r="37" spans="1:6">
      <c r="A37" s="28" t="s">
        <v>78</v>
      </c>
      <c r="B37" s="289" t="s">
        <v>68</v>
      </c>
      <c r="C37" s="26"/>
      <c r="D37" s="295"/>
      <c r="E37" s="34"/>
      <c r="F37" s="295">
        <v>0</v>
      </c>
    </row>
    <row r="38" spans="1:6">
      <c r="A38" s="28" t="s">
        <v>79</v>
      </c>
      <c r="B38" s="289"/>
      <c r="C38" s="26"/>
      <c r="D38" s="295"/>
      <c r="E38" s="34"/>
      <c r="F38" s="295"/>
    </row>
    <row r="39" spans="1:6">
      <c r="A39" s="24" t="s">
        <v>73</v>
      </c>
      <c r="B39" s="292"/>
      <c r="C39" s="292"/>
      <c r="D39" s="25"/>
      <c r="E39" s="25"/>
      <c r="F39" s="25">
        <f>SUM(F37,F36,F35)</f>
        <v>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CF4E-9651-49BA-8A0D-A9A582AAC10C}">
  <dimension ref="A1:S58"/>
  <sheetViews>
    <sheetView zoomScale="115" zoomScaleNormal="115" workbookViewId="0">
      <selection activeCell="A44" sqref="A44:A48"/>
    </sheetView>
  </sheetViews>
  <sheetFormatPr defaultColWidth="9" defaultRowHeight="14.25"/>
  <cols>
    <col min="1" max="1" width="79.42578125" style="36" bestFit="1" customWidth="1"/>
    <col min="2" max="3" width="10.7109375" style="36" hidden="1" customWidth="1"/>
    <col min="4" max="5" width="10.7109375" style="36" customWidth="1"/>
    <col min="6" max="6" width="11.7109375" style="36" bestFit="1" customWidth="1"/>
    <col min="7" max="7" width="10.28515625" style="36" bestFit="1" customWidth="1"/>
    <col min="8" max="8" width="9" style="36"/>
    <col min="9" max="9" width="46" style="36" customWidth="1"/>
    <col min="10" max="16384" width="9" style="36"/>
  </cols>
  <sheetData>
    <row r="1" spans="1:19">
      <c r="A1" s="113" t="s">
        <v>80</v>
      </c>
      <c r="B1" s="113"/>
      <c r="C1" s="113"/>
      <c r="D1" s="113"/>
      <c r="E1" s="113"/>
      <c r="F1" s="113"/>
    </row>
    <row r="2" spans="1:19" ht="18.75">
      <c r="A2" s="114" t="s">
        <v>81</v>
      </c>
      <c r="B2" s="114"/>
      <c r="C2" s="114"/>
      <c r="D2" s="114"/>
      <c r="E2" s="114"/>
      <c r="F2" s="114"/>
      <c r="H2" s="357" t="s">
        <v>82</v>
      </c>
      <c r="I2" s="357" t="s">
        <v>0</v>
      </c>
      <c r="J2" s="357"/>
      <c r="K2" s="357"/>
      <c r="L2" s="357" t="s">
        <v>83</v>
      </c>
      <c r="M2" s="357" t="s">
        <v>84</v>
      </c>
      <c r="N2" s="357" t="s">
        <v>85</v>
      </c>
      <c r="O2" s="357" t="s">
        <v>86</v>
      </c>
      <c r="P2" s="357" t="s">
        <v>87</v>
      </c>
      <c r="Q2" s="357" t="s">
        <v>88</v>
      </c>
      <c r="R2" s="357" t="s">
        <v>89</v>
      </c>
      <c r="S2" s="357" t="s">
        <v>90</v>
      </c>
    </row>
    <row r="3" spans="1:19" ht="29.25">
      <c r="A3" s="1" t="s">
        <v>2</v>
      </c>
      <c r="B3" s="2" t="s">
        <v>91</v>
      </c>
      <c r="C3" s="2" t="s">
        <v>92</v>
      </c>
      <c r="D3" s="2" t="s">
        <v>93</v>
      </c>
      <c r="E3" s="2" t="s">
        <v>94</v>
      </c>
      <c r="F3" s="2" t="s">
        <v>95</v>
      </c>
      <c r="H3" s="357" t="s">
        <v>96</v>
      </c>
      <c r="I3" s="355" t="s">
        <v>97</v>
      </c>
      <c r="J3" s="355"/>
      <c r="K3" s="355"/>
      <c r="L3" s="355" t="s">
        <v>98</v>
      </c>
      <c r="M3" s="355" t="s">
        <v>99</v>
      </c>
      <c r="N3" s="355" t="s">
        <v>100</v>
      </c>
      <c r="O3" s="355"/>
      <c r="P3" s="355"/>
      <c r="Q3" s="355"/>
      <c r="R3" s="355"/>
      <c r="S3" s="355"/>
    </row>
    <row r="4" spans="1:19" ht="30.75">
      <c r="A4" s="3" t="s">
        <v>101</v>
      </c>
      <c r="B4" s="4"/>
      <c r="C4" s="4"/>
      <c r="D4" s="3">
        <f>SUM(D5:D9)</f>
        <v>88</v>
      </c>
      <c r="E4" s="4"/>
      <c r="F4" s="5">
        <f>SUM(F5:F9)</f>
        <v>2200</v>
      </c>
      <c r="H4" s="359" t="s">
        <v>102</v>
      </c>
      <c r="I4" s="356" t="s">
        <v>101</v>
      </c>
      <c r="J4" s="355">
        <f>D4/7</f>
        <v>12.571428571428571</v>
      </c>
      <c r="K4" s="355">
        <f>J4/2/5</f>
        <v>1.2571428571428571</v>
      </c>
      <c r="L4" s="355" t="s">
        <v>98</v>
      </c>
      <c r="M4" s="355" t="s">
        <v>99</v>
      </c>
      <c r="N4" s="355"/>
      <c r="O4" s="355"/>
      <c r="P4" s="355"/>
      <c r="Q4" s="355"/>
      <c r="R4" s="355"/>
      <c r="S4" s="355"/>
    </row>
    <row r="5" spans="1:19" ht="15">
      <c r="A5" s="128" t="s">
        <v>4</v>
      </c>
      <c r="B5" s="129"/>
      <c r="C5" s="130">
        <v>16</v>
      </c>
      <c r="D5" s="34">
        <v>8</v>
      </c>
      <c r="E5" s="8">
        <f>lookup!$B$2</f>
        <v>25</v>
      </c>
      <c r="F5" s="9">
        <f>D5*$E5</f>
        <v>200</v>
      </c>
      <c r="H5" s="359"/>
      <c r="I5" s="356" t="s">
        <v>103</v>
      </c>
      <c r="J5" s="355">
        <f>D14/7</f>
        <v>35.428571428571431</v>
      </c>
      <c r="K5" s="355">
        <f>J5/2/5</f>
        <v>3.5428571428571431</v>
      </c>
      <c r="L5" s="355"/>
      <c r="M5" s="355"/>
      <c r="N5" s="355" t="s">
        <v>100</v>
      </c>
      <c r="O5" s="355" t="s">
        <v>104</v>
      </c>
      <c r="P5" s="355" t="s">
        <v>105</v>
      </c>
      <c r="Q5" s="355" t="s">
        <v>106</v>
      </c>
      <c r="R5" s="355"/>
      <c r="S5" s="355"/>
    </row>
    <row r="6" spans="1:19" ht="29.25">
      <c r="A6" s="14" t="s">
        <v>7</v>
      </c>
      <c r="B6" s="129"/>
      <c r="C6" s="130">
        <v>24</v>
      </c>
      <c r="D6" s="34">
        <v>16</v>
      </c>
      <c r="E6" s="8">
        <f>lookup!$B$2</f>
        <v>25</v>
      </c>
      <c r="F6" s="9">
        <f t="shared" ref="F6:F8" si="0">D6*$E6</f>
        <v>400</v>
      </c>
      <c r="H6" s="359"/>
      <c r="I6" s="356" t="s">
        <v>107</v>
      </c>
      <c r="J6" s="355">
        <f>D24/7</f>
        <v>13.714285714285714</v>
      </c>
      <c r="K6" s="355">
        <f>J6/2/5</f>
        <v>1.3714285714285714</v>
      </c>
      <c r="L6" s="355"/>
      <c r="M6" s="355"/>
      <c r="N6" s="355"/>
      <c r="O6" s="355"/>
      <c r="P6" s="355"/>
      <c r="Q6" s="355"/>
      <c r="R6" s="355" t="s">
        <v>108</v>
      </c>
      <c r="S6" s="355" t="s">
        <v>109</v>
      </c>
    </row>
    <row r="7" spans="1:19" ht="29.25">
      <c r="A7" s="14" t="s">
        <v>9</v>
      </c>
      <c r="B7" s="129"/>
      <c r="C7" s="130">
        <v>16</v>
      </c>
      <c r="D7" s="34">
        <v>32</v>
      </c>
      <c r="E7" s="8">
        <f>lookup!$B$2</f>
        <v>25</v>
      </c>
      <c r="F7" s="9">
        <f t="shared" si="0"/>
        <v>800</v>
      </c>
    </row>
    <row r="8" spans="1:19" ht="28.5">
      <c r="A8" s="131" t="s">
        <v>110</v>
      </c>
      <c r="B8" s="129"/>
      <c r="C8" s="130">
        <v>24</v>
      </c>
      <c r="D8" s="34">
        <v>24</v>
      </c>
      <c r="E8" s="8">
        <f>lookup!$B$2</f>
        <v>25</v>
      </c>
      <c r="F8" s="9">
        <f t="shared" si="0"/>
        <v>600</v>
      </c>
    </row>
    <row r="9" spans="1:19">
      <c r="A9" s="14" t="s">
        <v>13</v>
      </c>
      <c r="B9" s="129"/>
      <c r="C9" s="130">
        <v>24</v>
      </c>
      <c r="D9" s="34">
        <v>8</v>
      </c>
      <c r="E9" s="8">
        <f>lookup!$B$2</f>
        <v>25</v>
      </c>
      <c r="F9" s="9">
        <f t="shared" ref="F9" si="1">D9*$E9</f>
        <v>200</v>
      </c>
    </row>
    <row r="10" spans="1:19">
      <c r="A10" s="3" t="s">
        <v>111</v>
      </c>
      <c r="B10" s="3"/>
      <c r="C10" s="3"/>
      <c r="D10" s="3">
        <f>SUM(D11:D13)</f>
        <v>0</v>
      </c>
      <c r="E10" s="3"/>
      <c r="F10" s="5">
        <f>SUM(F11:F13)</f>
        <v>0</v>
      </c>
    </row>
    <row r="11" spans="1:19">
      <c r="A11" s="10" t="s">
        <v>112</v>
      </c>
      <c r="B11" s="7"/>
      <c r="C11" s="7"/>
      <c r="D11" s="7">
        <f>ROUNDUP(SUM($D$5:$D$9)*lookup!B7,0)</f>
        <v>0</v>
      </c>
      <c r="E11" s="8">
        <v>40</v>
      </c>
      <c r="F11" s="9">
        <f>D11*$E11</f>
        <v>0</v>
      </c>
    </row>
    <row r="12" spans="1:19">
      <c r="A12" s="6" t="s">
        <v>113</v>
      </c>
      <c r="B12" s="7"/>
      <c r="C12" s="7"/>
      <c r="D12" s="7">
        <f>ROUNDUP(SUM($D$5:$D$9)*lookup!B8,0)</f>
        <v>0</v>
      </c>
      <c r="E12" s="8">
        <f>lookup!$B$2</f>
        <v>25</v>
      </c>
      <c r="F12" s="9">
        <f>D12*$E12</f>
        <v>0</v>
      </c>
    </row>
    <row r="13" spans="1:19">
      <c r="A13" s="6" t="s">
        <v>114</v>
      </c>
      <c r="B13" s="7"/>
      <c r="C13" s="7"/>
      <c r="D13" s="7">
        <f>ROUNDUP(SUM($D$5:$D$9)*lookup!B13,0)</f>
        <v>0</v>
      </c>
      <c r="E13" s="8">
        <f>lookup!$B$2</f>
        <v>25</v>
      </c>
      <c r="F13" s="9">
        <f t="shared" ref="F13" si="2">D13*$E13</f>
        <v>0</v>
      </c>
    </row>
    <row r="14" spans="1:19">
      <c r="A14" s="3" t="s">
        <v>103</v>
      </c>
      <c r="B14" s="11"/>
      <c r="C14" s="11"/>
      <c r="D14" s="3">
        <f>SUM(D15:D23)</f>
        <v>248</v>
      </c>
      <c r="E14" s="12"/>
      <c r="F14" s="5">
        <f>SUM(F15:F23)</f>
        <v>7440</v>
      </c>
      <c r="H14" s="132"/>
    </row>
    <row r="15" spans="1:19" ht="28.5">
      <c r="A15" s="14" t="s">
        <v>115</v>
      </c>
      <c r="B15" s="14"/>
      <c r="C15" s="14"/>
      <c r="D15" s="34">
        <v>16</v>
      </c>
      <c r="E15" s="8">
        <f>lookup!$C$2</f>
        <v>30</v>
      </c>
      <c r="F15" s="9">
        <f>D15*$E15</f>
        <v>480</v>
      </c>
    </row>
    <row r="16" spans="1:19">
      <c r="A16" s="34" t="s">
        <v>17</v>
      </c>
      <c r="B16" s="14"/>
      <c r="C16" s="14"/>
      <c r="D16" s="34">
        <v>24</v>
      </c>
      <c r="E16" s="8">
        <f>lookup!$C$2</f>
        <v>30</v>
      </c>
      <c r="F16" s="9">
        <f t="shared" ref="F16:F19" si="3">D16*$E16</f>
        <v>720</v>
      </c>
    </row>
    <row r="17" spans="1:11" ht="28.5">
      <c r="A17" s="14" t="s">
        <v>116</v>
      </c>
      <c r="B17" s="14"/>
      <c r="C17" s="14"/>
      <c r="D17" s="34">
        <v>56</v>
      </c>
      <c r="E17" s="8">
        <f>lookup!$C$2</f>
        <v>30</v>
      </c>
      <c r="F17" s="9">
        <f t="shared" si="3"/>
        <v>1680</v>
      </c>
    </row>
    <row r="18" spans="1:11" ht="28.5">
      <c r="A18" s="126" t="s">
        <v>117</v>
      </c>
      <c r="B18" s="14"/>
      <c r="C18" s="14"/>
      <c r="D18" s="34">
        <v>32</v>
      </c>
      <c r="E18" s="8">
        <f>lookup!$C$2</f>
        <v>30</v>
      </c>
      <c r="F18" s="9">
        <f t="shared" si="3"/>
        <v>960</v>
      </c>
    </row>
    <row r="19" spans="1:11" ht="28.5">
      <c r="A19" s="14" t="s">
        <v>118</v>
      </c>
      <c r="B19" s="34"/>
      <c r="C19" s="34"/>
      <c r="D19" s="34">
        <v>24</v>
      </c>
      <c r="E19" s="8">
        <f>lookup!$C$2</f>
        <v>30</v>
      </c>
      <c r="F19" s="9">
        <f t="shared" si="3"/>
        <v>720</v>
      </c>
    </row>
    <row r="20" spans="1:11">
      <c r="A20" s="34" t="s">
        <v>119</v>
      </c>
      <c r="B20" s="34"/>
      <c r="C20" s="34"/>
      <c r="D20" s="34">
        <v>24</v>
      </c>
      <c r="E20" s="8">
        <f>lookup!$C$2</f>
        <v>30</v>
      </c>
      <c r="F20" s="9">
        <f t="shared" ref="F20:F21" si="4">D20*$E20</f>
        <v>720</v>
      </c>
    </row>
    <row r="21" spans="1:11" ht="28.5">
      <c r="A21" s="133" t="s">
        <v>120</v>
      </c>
      <c r="B21" s="34"/>
      <c r="C21" s="34"/>
      <c r="D21" s="34">
        <v>24</v>
      </c>
      <c r="E21" s="8">
        <f>lookup!$C$2</f>
        <v>30</v>
      </c>
      <c r="F21" s="9">
        <f t="shared" si="4"/>
        <v>720</v>
      </c>
      <c r="I21" s="143" t="s">
        <v>38</v>
      </c>
    </row>
    <row r="22" spans="1:11" ht="15">
      <c r="A22" s="14" t="s">
        <v>30</v>
      </c>
      <c r="B22" s="34"/>
      <c r="C22" s="34"/>
      <c r="D22" s="34">
        <v>24</v>
      </c>
      <c r="E22" s="8">
        <f>lookup!$C$2</f>
        <v>30</v>
      </c>
      <c r="F22" s="9">
        <f t="shared" ref="F22:F23" si="5">D22*$E22</f>
        <v>720</v>
      </c>
      <c r="I22" s="143" t="s">
        <v>44</v>
      </c>
      <c r="J22" s="36">
        <v>2200</v>
      </c>
      <c r="K22" s="36">
        <v>880</v>
      </c>
    </row>
    <row r="23" spans="1:11" ht="15">
      <c r="A23" s="134" t="s">
        <v>31</v>
      </c>
      <c r="B23" s="34"/>
      <c r="C23" s="34"/>
      <c r="D23" s="34">
        <v>24</v>
      </c>
      <c r="E23" s="8">
        <f>lookup!$C$2</f>
        <v>30</v>
      </c>
      <c r="F23" s="9">
        <f t="shared" si="5"/>
        <v>720</v>
      </c>
      <c r="I23" s="143" t="s">
        <v>46</v>
      </c>
      <c r="J23" s="36" t="s">
        <v>47</v>
      </c>
      <c r="K23" s="36">
        <v>2464</v>
      </c>
    </row>
    <row r="24" spans="1:11" ht="15">
      <c r="A24" s="3" t="s">
        <v>107</v>
      </c>
      <c r="B24" s="14"/>
      <c r="C24" s="14"/>
      <c r="D24" s="3">
        <f>SUM(D25:D26)</f>
        <v>96</v>
      </c>
      <c r="E24" s="3"/>
      <c r="F24" s="5">
        <f>SUM(F25:F26)</f>
        <v>2880</v>
      </c>
      <c r="I24" s="143" t="s">
        <v>48</v>
      </c>
      <c r="J24" s="36">
        <v>7440</v>
      </c>
      <c r="K24" s="36" t="s">
        <v>47</v>
      </c>
    </row>
    <row r="25" spans="1:11" ht="28.5">
      <c r="A25" s="126" t="s">
        <v>121</v>
      </c>
      <c r="B25" s="14"/>
      <c r="C25" s="14"/>
      <c r="D25" s="296">
        <v>64</v>
      </c>
      <c r="E25" s="297">
        <f>lookup!$C$2</f>
        <v>30</v>
      </c>
      <c r="F25" s="298">
        <f>D25*$E25</f>
        <v>1920</v>
      </c>
      <c r="I25" s="143" t="s">
        <v>49</v>
      </c>
      <c r="J25" s="36">
        <v>2500</v>
      </c>
      <c r="K25" s="36">
        <v>756</v>
      </c>
    </row>
    <row r="26" spans="1:11" ht="15">
      <c r="A26" s="13" t="s">
        <v>122</v>
      </c>
      <c r="B26" s="14"/>
      <c r="C26" s="14"/>
      <c r="D26" s="16">
        <v>32</v>
      </c>
      <c r="E26" s="8">
        <f>lookup!$C$2</f>
        <v>30</v>
      </c>
      <c r="F26" s="9">
        <f>D26*$E26</f>
        <v>960</v>
      </c>
      <c r="I26" s="143" t="s">
        <v>50</v>
      </c>
      <c r="K26" s="36">
        <v>440</v>
      </c>
    </row>
    <row r="27" spans="1:11" ht="15">
      <c r="A27" s="3" t="s">
        <v>123</v>
      </c>
      <c r="B27" s="11"/>
      <c r="C27" s="11"/>
      <c r="D27" s="11">
        <f>SUM(D28:D30)</f>
        <v>0</v>
      </c>
      <c r="E27" s="12"/>
      <c r="F27" s="5">
        <f>SUM(F28:F30)</f>
        <v>0</v>
      </c>
      <c r="I27" s="143" t="s">
        <v>124</v>
      </c>
    </row>
    <row r="28" spans="1:11" ht="15">
      <c r="A28" s="13" t="s">
        <v>125</v>
      </c>
      <c r="B28" s="14"/>
      <c r="C28" s="14"/>
      <c r="D28" s="14">
        <v>0</v>
      </c>
      <c r="E28" s="8">
        <f>lookup!$B$2</f>
        <v>25</v>
      </c>
      <c r="F28" s="9">
        <f>D28*$E28</f>
        <v>0</v>
      </c>
      <c r="I28" s="143" t="s">
        <v>51</v>
      </c>
      <c r="J28" s="36">
        <v>2880</v>
      </c>
      <c r="K28" s="36">
        <v>352</v>
      </c>
    </row>
    <row r="29" spans="1:11" ht="15">
      <c r="A29" s="135" t="s">
        <v>126</v>
      </c>
      <c r="B29" s="14"/>
      <c r="C29" s="14"/>
      <c r="D29" s="14">
        <v>0</v>
      </c>
      <c r="E29" s="8">
        <f>lookup!$B$2</f>
        <v>25</v>
      </c>
      <c r="F29" s="9">
        <f>D29*$E29</f>
        <v>0</v>
      </c>
      <c r="I29" s="143" t="s">
        <v>52</v>
      </c>
      <c r="J29" s="36">
        <v>600</v>
      </c>
      <c r="K29" s="36">
        <v>0</v>
      </c>
    </row>
    <row r="30" spans="1:11" ht="15">
      <c r="A30" s="135" t="s">
        <v>127</v>
      </c>
      <c r="B30" s="14"/>
      <c r="C30" s="14"/>
      <c r="D30" s="14">
        <v>0</v>
      </c>
      <c r="E30" s="8">
        <f>lookup!$B$2</f>
        <v>25</v>
      </c>
      <c r="F30" s="9">
        <f>D30*$E30</f>
        <v>0</v>
      </c>
      <c r="I30" s="143" t="s">
        <v>53</v>
      </c>
      <c r="J30" s="36">
        <v>3124</v>
      </c>
      <c r="K30" s="36">
        <v>0</v>
      </c>
    </row>
    <row r="31" spans="1:11">
      <c r="A31" s="3" t="s">
        <v>128</v>
      </c>
      <c r="B31" s="11"/>
      <c r="C31" s="11"/>
      <c r="D31" s="11">
        <f>SUM(D32:D33)</f>
        <v>100</v>
      </c>
      <c r="E31" s="12"/>
      <c r="F31" s="5">
        <f>SUM(F32:F33)</f>
        <v>2500</v>
      </c>
      <c r="I31" s="36" t="s">
        <v>55</v>
      </c>
      <c r="J31" s="36">
        <v>1562</v>
      </c>
      <c r="K31" s="36">
        <v>490</v>
      </c>
    </row>
    <row r="32" spans="1:11">
      <c r="A32" s="6" t="s">
        <v>129</v>
      </c>
      <c r="B32" s="18">
        <v>14</v>
      </c>
      <c r="C32" s="18">
        <v>24</v>
      </c>
      <c r="D32" s="18">
        <f>ROUNDUP(0.2*D14,0)</f>
        <v>50</v>
      </c>
      <c r="E32" s="8">
        <f>lookup!$D$2</f>
        <v>25</v>
      </c>
      <c r="F32" s="9">
        <f>D32*$E32</f>
        <v>1250</v>
      </c>
      <c r="I32" s="36" t="s">
        <v>56</v>
      </c>
      <c r="J32" s="36">
        <v>430</v>
      </c>
      <c r="K32" s="36">
        <v>460</v>
      </c>
    </row>
    <row r="33" spans="1:11">
      <c r="A33" s="6" t="s">
        <v>130</v>
      </c>
      <c r="B33" s="18">
        <v>14</v>
      </c>
      <c r="C33" s="18">
        <v>24</v>
      </c>
      <c r="D33" s="18">
        <f>ROUNDUP(0.2*D14,0)</f>
        <v>50</v>
      </c>
      <c r="E33" s="8">
        <f>lookup!$D$2</f>
        <v>25</v>
      </c>
      <c r="F33" s="9">
        <f>D33*$E33</f>
        <v>1250</v>
      </c>
      <c r="J33" s="36">
        <f>SUM(J21:J32)</f>
        <v>20736</v>
      </c>
      <c r="K33" s="36">
        <f>SUM(K21:K32)</f>
        <v>5842</v>
      </c>
    </row>
    <row r="34" spans="1:11">
      <c r="A34" s="19" t="s">
        <v>131</v>
      </c>
      <c r="B34" s="20"/>
      <c r="C34" s="20"/>
      <c r="D34" s="20">
        <f>SUM(D4,D14,D24,D27,D31)</f>
        <v>532</v>
      </c>
      <c r="E34" s="21"/>
      <c r="F34" s="9"/>
    </row>
    <row r="35" spans="1:11">
      <c r="A35" s="120" t="s">
        <v>132</v>
      </c>
      <c r="B35" s="121"/>
      <c r="C35" s="121"/>
      <c r="D35" s="122"/>
      <c r="E35" s="123"/>
      <c r="F35" s="124">
        <f>SUM(F4,F14,F24,F27,F31)</f>
        <v>15020</v>
      </c>
    </row>
    <row r="36" spans="1:11">
      <c r="A36" s="10" t="str">
        <f>lookup!H2&amp;" Effort @ "&amp;lookup!I2</f>
        <v>Solution Architect Effort @ 0.1</v>
      </c>
      <c r="B36" s="22"/>
      <c r="C36" s="22"/>
      <c r="D36" s="18">
        <f>ROUNDUP(D14*lookup!C7,0)</f>
        <v>0</v>
      </c>
      <c r="E36" s="15">
        <v>0</v>
      </c>
      <c r="F36" s="119">
        <f>F$35*lookup!I2</f>
        <v>1502</v>
      </c>
    </row>
    <row r="37" spans="1:11">
      <c r="A37" s="10" t="str">
        <f>lookup!H3&amp;" Effort @ "&amp;lookup!I3</f>
        <v>PM Effort @ 0</v>
      </c>
      <c r="B37" s="22"/>
      <c r="C37" s="22"/>
      <c r="D37" s="18">
        <f>ROUNDUP(D14*lookup!C8,0)</f>
        <v>0</v>
      </c>
      <c r="E37" s="8">
        <v>0</v>
      </c>
      <c r="F37" s="119">
        <f>F$35*lookup!I3</f>
        <v>0</v>
      </c>
      <c r="I37" s="36">
        <v>532</v>
      </c>
      <c r="K37" s="36" t="s">
        <v>133</v>
      </c>
    </row>
    <row r="38" spans="1:11">
      <c r="A38" s="10" t="str">
        <f>lookup!H4&amp;" Effort @ "&amp;lookup!I4</f>
        <v>BA Effort @ 0</v>
      </c>
      <c r="B38" s="22"/>
      <c r="C38" s="22"/>
      <c r="D38" s="18">
        <f>ROUNDUP(SUM($D$5:$D$9)*lookup!C13,0)</f>
        <v>0</v>
      </c>
      <c r="E38" s="8">
        <v>0</v>
      </c>
      <c r="F38" s="119">
        <f>F$35*lookup!I4</f>
        <v>0</v>
      </c>
      <c r="G38" s="36">
        <v>5</v>
      </c>
      <c r="I38" s="36">
        <v>8</v>
      </c>
    </row>
    <row r="39" spans="1:11">
      <c r="A39" s="10" t="str">
        <f>lookup!H5&amp;" @ "&amp;lookup!I5</f>
        <v>Contingency @ 0.1</v>
      </c>
      <c r="B39" s="22"/>
      <c r="C39" s="22"/>
      <c r="D39" s="18">
        <f>ROUNDUP(SUM(D34:D38)*0.2,0)</f>
        <v>107</v>
      </c>
      <c r="E39" s="8">
        <v>22</v>
      </c>
      <c r="F39" s="23">
        <f>F$35*lookup!I5</f>
        <v>1502</v>
      </c>
      <c r="I39" s="36">
        <f>I37/I38</f>
        <v>66.5</v>
      </c>
    </row>
    <row r="40" spans="1:11">
      <c r="A40" s="24" t="s">
        <v>134</v>
      </c>
      <c r="B40" s="24"/>
      <c r="C40" s="24"/>
      <c r="D40" s="24"/>
      <c r="E40" s="24"/>
      <c r="F40" s="25">
        <f>SUM(F4,F10,F14,F24,F27,F31,F36:F39)</f>
        <v>18024</v>
      </c>
      <c r="G40" s="136"/>
      <c r="H40" s="137"/>
      <c r="I40" s="36">
        <f>I39/21</f>
        <v>3.1666666666666665</v>
      </c>
    </row>
    <row r="41" spans="1:11">
      <c r="I41" s="36">
        <f>I40/2</f>
        <v>1.5833333333333333</v>
      </c>
    </row>
    <row r="42" spans="1:11" ht="39" customHeight="1">
      <c r="A42" s="115" t="s">
        <v>65</v>
      </c>
      <c r="B42" s="115"/>
      <c r="C42" s="115"/>
      <c r="D42" s="115"/>
      <c r="E42" s="115"/>
      <c r="F42" s="115"/>
    </row>
    <row r="43" spans="1:11">
      <c r="A43" s="24" t="s">
        <v>66</v>
      </c>
      <c r="B43" s="24"/>
      <c r="C43" s="24"/>
      <c r="D43" s="24"/>
      <c r="E43" s="24"/>
      <c r="F43" s="25">
        <f>SUM(F44,F48)</f>
        <v>280</v>
      </c>
      <c r="G43" s="27"/>
    </row>
    <row r="44" spans="1:11" ht="15">
      <c r="A44" s="138" t="s">
        <v>135</v>
      </c>
      <c r="B44" s="135" t="s">
        <v>68</v>
      </c>
      <c r="C44" s="26"/>
      <c r="D44" s="34"/>
      <c r="E44" s="34"/>
      <c r="F44" s="119">
        <v>170</v>
      </c>
      <c r="G44" s="29"/>
    </row>
    <row r="45" spans="1:11">
      <c r="A45" s="30" t="s">
        <v>69</v>
      </c>
      <c r="B45" s="28"/>
      <c r="C45" s="28"/>
      <c r="D45" s="34"/>
      <c r="E45" s="34"/>
      <c r="F45" s="34"/>
      <c r="G45" s="31"/>
    </row>
    <row r="46" spans="1:11" ht="28.5">
      <c r="A46" s="32" t="s">
        <v>70</v>
      </c>
      <c r="B46" s="28"/>
      <c r="C46" s="28"/>
      <c r="D46" s="34"/>
      <c r="E46" s="34"/>
      <c r="F46" s="33">
        <v>0.11</v>
      </c>
      <c r="G46" s="31"/>
    </row>
    <row r="47" spans="1:11">
      <c r="A47" s="34" t="s">
        <v>71</v>
      </c>
      <c r="B47" s="28"/>
      <c r="C47" s="28"/>
      <c r="D47" s="34"/>
      <c r="E47" s="34"/>
      <c r="F47" s="35">
        <v>1000</v>
      </c>
      <c r="G47" s="31"/>
    </row>
    <row r="48" spans="1:11">
      <c r="A48" s="34" t="s">
        <v>72</v>
      </c>
      <c r="B48" s="7"/>
      <c r="C48" s="7"/>
      <c r="D48" s="34"/>
      <c r="E48" s="34"/>
      <c r="F48" s="9">
        <f>F47*F46</f>
        <v>110</v>
      </c>
    </row>
    <row r="51" spans="1:8">
      <c r="A51" s="116" t="s">
        <v>73</v>
      </c>
      <c r="B51" s="116"/>
      <c r="C51" s="116"/>
      <c r="D51" s="116"/>
      <c r="E51" s="116"/>
      <c r="F51" s="116"/>
    </row>
    <row r="52" spans="1:8" ht="28.5">
      <c r="A52" s="32" t="s">
        <v>74</v>
      </c>
      <c r="B52" s="1"/>
      <c r="C52" s="1"/>
      <c r="D52" s="38"/>
      <c r="E52" s="34"/>
      <c r="F52" s="38">
        <f>F46</f>
        <v>0.11</v>
      </c>
    </row>
    <row r="53" spans="1:8">
      <c r="A53" s="34" t="s">
        <v>75</v>
      </c>
      <c r="B53" s="34"/>
      <c r="C53" s="34"/>
      <c r="D53" s="35"/>
      <c r="E53" s="34"/>
      <c r="F53" s="35">
        <f>F47</f>
        <v>1000</v>
      </c>
    </row>
    <row r="54" spans="1:8">
      <c r="A54" s="34" t="s">
        <v>76</v>
      </c>
      <c r="B54" s="34"/>
      <c r="C54" s="34"/>
      <c r="D54" s="9"/>
      <c r="E54" s="34"/>
      <c r="F54" s="9">
        <f>F53*F52</f>
        <v>110</v>
      </c>
    </row>
    <row r="55" spans="1:8" ht="15">
      <c r="A55" s="39" t="s">
        <v>77</v>
      </c>
      <c r="B55" s="1">
        <v>30</v>
      </c>
      <c r="C55" s="1">
        <f>'[1]Rate Card'!$B$3</f>
        <v>30</v>
      </c>
      <c r="D55" s="40"/>
      <c r="E55" s="34"/>
      <c r="F55" s="139">
        <f>3000*0.25</f>
        <v>750</v>
      </c>
      <c r="H55" s="308"/>
    </row>
    <row r="56" spans="1:8">
      <c r="A56" s="28" t="s">
        <v>135</v>
      </c>
      <c r="B56" s="135" t="s">
        <v>68</v>
      </c>
      <c r="C56" s="26"/>
      <c r="D56" s="41"/>
      <c r="E56" s="34"/>
      <c r="F56" s="41">
        <v>170</v>
      </c>
    </row>
    <row r="57" spans="1:8">
      <c r="A57" s="28" t="s">
        <v>79</v>
      </c>
      <c r="B57" s="135"/>
      <c r="C57" s="26"/>
      <c r="D57" s="41"/>
      <c r="E57" s="34"/>
      <c r="F57" s="41"/>
    </row>
    <row r="58" spans="1:8">
      <c r="A58" s="24" t="s">
        <v>73</v>
      </c>
      <c r="B58" s="7"/>
      <c r="C58" s="7"/>
      <c r="D58" s="25"/>
      <c r="E58" s="25"/>
      <c r="F58" s="25">
        <f>SUM(F56,F55,F54)</f>
        <v>1030</v>
      </c>
    </row>
  </sheetData>
  <mergeCells count="1">
    <mergeCell ref="H4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B6D6-3149-43A2-A73C-1A075683FB92}">
  <dimension ref="A1:K48"/>
  <sheetViews>
    <sheetView workbookViewId="0">
      <selection activeCell="C20" sqref="C20"/>
    </sheetView>
  </sheetViews>
  <sheetFormatPr defaultRowHeight="15" customHeight="1"/>
  <cols>
    <col min="1" max="1" width="5.42578125" bestFit="1" customWidth="1"/>
    <col min="2" max="2" width="84.7109375" customWidth="1"/>
    <col min="3" max="3" width="13" bestFit="1" customWidth="1"/>
    <col min="4" max="4" width="14" bestFit="1" customWidth="1"/>
    <col min="5" max="5" width="10.140625" bestFit="1" customWidth="1"/>
    <col min="7" max="7" width="28.85546875" customWidth="1"/>
    <col min="11" max="11" width="30.7109375" customWidth="1"/>
  </cols>
  <sheetData>
    <row r="1" spans="1:5" ht="35.25" customHeight="1">
      <c r="A1" s="365" t="s">
        <v>136</v>
      </c>
      <c r="B1" s="366"/>
      <c r="C1" s="366"/>
      <c r="D1" s="366"/>
      <c r="E1" s="367"/>
    </row>
    <row r="2" spans="1:5" ht="15" customHeight="1">
      <c r="A2" s="147" t="s">
        <v>45</v>
      </c>
      <c r="B2" s="148" t="s">
        <v>45</v>
      </c>
      <c r="C2" s="148" t="s">
        <v>45</v>
      </c>
      <c r="D2" s="149" t="s">
        <v>45</v>
      </c>
      <c r="E2" s="150" t="s">
        <v>45</v>
      </c>
    </row>
    <row r="3" spans="1:5" ht="15" customHeight="1">
      <c r="A3" s="368" t="s">
        <v>137</v>
      </c>
      <c r="B3" s="369"/>
      <c r="C3" s="369"/>
      <c r="D3" s="369"/>
      <c r="E3" s="370"/>
    </row>
    <row r="4" spans="1:5" ht="15" customHeight="1">
      <c r="A4" s="151" t="s">
        <v>138</v>
      </c>
      <c r="B4" s="152" t="s">
        <v>139</v>
      </c>
      <c r="C4" s="153" t="s">
        <v>94</v>
      </c>
      <c r="D4" s="153" t="s">
        <v>140</v>
      </c>
      <c r="E4" s="154" t="s">
        <v>132</v>
      </c>
    </row>
    <row r="5" spans="1:5" ht="15" customHeight="1">
      <c r="A5" s="155" t="s">
        <v>45</v>
      </c>
      <c r="B5" s="156" t="s">
        <v>45</v>
      </c>
      <c r="C5" s="170" t="s">
        <v>45</v>
      </c>
      <c r="D5" s="156" t="s">
        <v>45</v>
      </c>
      <c r="E5" s="171" t="s">
        <v>45</v>
      </c>
    </row>
    <row r="6" spans="1:5" ht="15" customHeight="1">
      <c r="A6" s="243">
        <v>1</v>
      </c>
      <c r="B6" s="157" t="s">
        <v>141</v>
      </c>
      <c r="C6" s="172">
        <f>lookup!$C$19</f>
        <v>22</v>
      </c>
      <c r="D6" s="173">
        <f>SUM(D7:D9)</f>
        <v>40</v>
      </c>
      <c r="E6" s="174">
        <f>C6*D6</f>
        <v>880</v>
      </c>
    </row>
    <row r="7" spans="1:5" ht="15" customHeight="1">
      <c r="A7" s="244">
        <v>1.2</v>
      </c>
      <c r="B7" s="158" t="s">
        <v>142</v>
      </c>
      <c r="C7" s="175" t="s">
        <v>45</v>
      </c>
      <c r="D7" s="176">
        <v>24</v>
      </c>
      <c r="E7" s="177" t="s">
        <v>45</v>
      </c>
    </row>
    <row r="8" spans="1:5" ht="15" customHeight="1">
      <c r="A8" s="244">
        <v>1.3</v>
      </c>
      <c r="B8" s="156" t="s">
        <v>143</v>
      </c>
      <c r="C8" s="178" t="s">
        <v>45</v>
      </c>
      <c r="D8" s="179">
        <v>16</v>
      </c>
      <c r="E8" s="180" t="s">
        <v>45</v>
      </c>
    </row>
    <row r="9" spans="1:5" ht="15" customHeight="1">
      <c r="A9" s="245" t="s">
        <v>45</v>
      </c>
      <c r="B9" s="159" t="s">
        <v>45</v>
      </c>
      <c r="C9" s="181" t="s">
        <v>45</v>
      </c>
      <c r="D9" s="182" t="s">
        <v>45</v>
      </c>
      <c r="E9" s="183" t="s">
        <v>45</v>
      </c>
    </row>
    <row r="10" spans="1:5" ht="15" customHeight="1">
      <c r="A10" s="246">
        <v>2</v>
      </c>
      <c r="B10" s="160" t="s">
        <v>144</v>
      </c>
      <c r="C10" s="261">
        <f>lookup!$C$19</f>
        <v>22</v>
      </c>
      <c r="D10" s="184">
        <f>SUM(D11:D13)</f>
        <v>108</v>
      </c>
      <c r="E10" s="185">
        <f>C10*D10</f>
        <v>2376</v>
      </c>
    </row>
    <row r="11" spans="1:5" ht="15" customHeight="1">
      <c r="A11" s="262">
        <v>2.1</v>
      </c>
      <c r="B11" s="161" t="s">
        <v>145</v>
      </c>
      <c r="C11" s="254" t="s">
        <v>45</v>
      </c>
      <c r="D11" s="255">
        <f>'Sources Details'!F5</f>
        <v>72</v>
      </c>
      <c r="E11" s="242" t="s">
        <v>45</v>
      </c>
    </row>
    <row r="12" spans="1:5" ht="15" customHeight="1">
      <c r="A12" s="263">
        <v>2.2000000000000002</v>
      </c>
      <c r="B12" s="204" t="s">
        <v>146</v>
      </c>
      <c r="C12" s="252" t="s">
        <v>45</v>
      </c>
      <c r="D12" s="253">
        <f>'Sources Details'!E25</f>
        <v>28</v>
      </c>
      <c r="E12" s="264" t="s">
        <v>45</v>
      </c>
    </row>
    <row r="13" spans="1:5" ht="15" customHeight="1">
      <c r="A13" s="265">
        <v>2.2999999999999998</v>
      </c>
      <c r="B13" s="250" t="s">
        <v>147</v>
      </c>
      <c r="C13" s="260"/>
      <c r="D13" s="253">
        <v>8</v>
      </c>
      <c r="E13" s="264"/>
    </row>
    <row r="14" spans="1:5" ht="15" customHeight="1" thickBot="1">
      <c r="A14" s="299">
        <v>2.4</v>
      </c>
      <c r="B14" s="300" t="s">
        <v>148</v>
      </c>
      <c r="C14" s="301"/>
      <c r="D14" s="302">
        <v>16</v>
      </c>
      <c r="E14" s="303"/>
    </row>
    <row r="15" spans="1:5" ht="15" customHeight="1">
      <c r="A15" s="246">
        <v>3</v>
      </c>
      <c r="B15" s="160" t="s">
        <v>50</v>
      </c>
      <c r="C15" s="261">
        <f>lookup!$C$19</f>
        <v>22</v>
      </c>
      <c r="D15" s="184">
        <f>SUM(D16:D19)</f>
        <v>32</v>
      </c>
      <c r="E15" s="185">
        <f>C15*D15</f>
        <v>704</v>
      </c>
    </row>
    <row r="16" spans="1:5" ht="15" customHeight="1">
      <c r="A16" s="274">
        <v>3.1</v>
      </c>
      <c r="B16" s="158" t="s">
        <v>149</v>
      </c>
      <c r="C16" s="187" t="s">
        <v>45</v>
      </c>
      <c r="D16" s="176">
        <v>12</v>
      </c>
      <c r="E16" s="186" t="s">
        <v>45</v>
      </c>
    </row>
    <row r="17" spans="1:5" ht="15" customHeight="1">
      <c r="A17" s="304">
        <v>3.2</v>
      </c>
      <c r="B17" s="226" t="s">
        <v>150</v>
      </c>
      <c r="C17" s="252" t="s">
        <v>45</v>
      </c>
      <c r="D17" s="253">
        <v>8</v>
      </c>
      <c r="E17" s="186" t="s">
        <v>45</v>
      </c>
    </row>
    <row r="18" spans="1:5" ht="15" customHeight="1">
      <c r="A18" s="304">
        <v>3.4</v>
      </c>
      <c r="B18" s="226" t="s">
        <v>151</v>
      </c>
      <c r="C18" s="252" t="s">
        <v>45</v>
      </c>
      <c r="D18" s="253">
        <v>12</v>
      </c>
      <c r="E18" s="305"/>
    </row>
    <row r="19" spans="1:5" ht="15" customHeight="1" thickBot="1">
      <c r="A19" s="306"/>
      <c r="B19" s="162"/>
      <c r="C19" s="188"/>
      <c r="D19" s="189"/>
      <c r="E19" s="307" t="s">
        <v>45</v>
      </c>
    </row>
    <row r="20" spans="1:5" ht="15" customHeight="1">
      <c r="A20" s="247">
        <v>4</v>
      </c>
      <c r="B20" s="163" t="s">
        <v>152</v>
      </c>
      <c r="C20" s="195">
        <f>lookup!$C$19</f>
        <v>22</v>
      </c>
      <c r="D20" s="190">
        <v>12</v>
      </c>
      <c r="E20" s="191">
        <f>C20*D20</f>
        <v>264</v>
      </c>
    </row>
    <row r="21" spans="1:5" ht="15" customHeight="1" thickBot="1">
      <c r="A21" s="248">
        <v>4.0999999999999996</v>
      </c>
      <c r="B21" s="164" t="s">
        <v>153</v>
      </c>
      <c r="C21" s="192" t="s">
        <v>45</v>
      </c>
      <c r="D21" s="193" t="s">
        <v>45</v>
      </c>
      <c r="E21" s="194" t="s">
        <v>45</v>
      </c>
    </row>
    <row r="22" spans="1:5" ht="15" customHeight="1">
      <c r="A22" s="247">
        <v>5</v>
      </c>
      <c r="B22" s="163" t="s">
        <v>154</v>
      </c>
      <c r="C22" s="172">
        <f>lookup!$C$19</f>
        <v>22</v>
      </c>
      <c r="D22" s="190">
        <f>D10*0.2</f>
        <v>21.6</v>
      </c>
      <c r="E22" s="191">
        <f>C22*D22</f>
        <v>475.20000000000005</v>
      </c>
    </row>
    <row r="23" spans="1:5" ht="15" customHeight="1">
      <c r="A23" s="247">
        <v>6</v>
      </c>
      <c r="B23" s="163" t="s">
        <v>155</v>
      </c>
      <c r="C23" s="195">
        <f>lookup!$C$19</f>
        <v>22</v>
      </c>
      <c r="D23" s="190">
        <v>16</v>
      </c>
      <c r="E23" s="191">
        <f>C23*D23</f>
        <v>352</v>
      </c>
    </row>
    <row r="24" spans="1:5" ht="15" customHeight="1">
      <c r="A24" s="249">
        <v>7</v>
      </c>
      <c r="B24" s="165" t="s">
        <v>156</v>
      </c>
      <c r="C24" s="196">
        <f>lookup!$C$19</f>
        <v>22</v>
      </c>
      <c r="D24" s="197">
        <v>0</v>
      </c>
      <c r="E24" s="191">
        <f>C24*D24</f>
        <v>0</v>
      </c>
    </row>
    <row r="25" spans="1:5" ht="15" customHeight="1">
      <c r="A25" s="243">
        <v>8</v>
      </c>
      <c r="B25" s="157" t="s">
        <v>157</v>
      </c>
      <c r="C25" s="172">
        <f>lookup!$C$19</f>
        <v>22</v>
      </c>
      <c r="D25" s="173">
        <v>0</v>
      </c>
      <c r="E25" s="174">
        <f>C25*D25</f>
        <v>0</v>
      </c>
    </row>
    <row r="26" spans="1:5" ht="15" customHeight="1">
      <c r="A26" s="248">
        <v>8.1</v>
      </c>
      <c r="B26" s="164" t="s">
        <v>158</v>
      </c>
      <c r="C26" s="192" t="s">
        <v>45</v>
      </c>
      <c r="D26" s="193" t="s">
        <v>45</v>
      </c>
      <c r="E26" s="194" t="s">
        <v>45</v>
      </c>
    </row>
    <row r="27" spans="1:5" ht="15" customHeight="1">
      <c r="A27" s="240" t="s">
        <v>45</v>
      </c>
      <c r="B27" s="237" t="s">
        <v>159</v>
      </c>
      <c r="C27" s="238">
        <f>lookup!$C$19</f>
        <v>22</v>
      </c>
      <c r="D27" s="239">
        <f>SUM(D6,D10,D15,D20,D22,D23,D24,D25)</f>
        <v>229.6</v>
      </c>
      <c r="E27" s="198">
        <f>C27*D27</f>
        <v>5051.2</v>
      </c>
    </row>
    <row r="28" spans="1:5" ht="15" customHeight="1">
      <c r="A28" s="240" t="s">
        <v>45</v>
      </c>
      <c r="B28" s="237" t="s">
        <v>160</v>
      </c>
      <c r="C28" s="238">
        <f>lookup!$C$19</f>
        <v>22</v>
      </c>
      <c r="D28" s="239">
        <f>D27*0.1</f>
        <v>22.96</v>
      </c>
      <c r="E28" s="198">
        <f>C28*D28</f>
        <v>505.12</v>
      </c>
    </row>
    <row r="29" spans="1:5" ht="15" customHeight="1">
      <c r="A29" s="241"/>
      <c r="B29" s="237" t="s">
        <v>161</v>
      </c>
      <c r="C29" s="238"/>
      <c r="D29" s="239"/>
      <c r="E29" s="236">
        <f>Infrastructure_Details!D14</f>
        <v>460</v>
      </c>
    </row>
    <row r="30" spans="1:5" ht="15" customHeight="1">
      <c r="A30" s="166" t="s">
        <v>45</v>
      </c>
      <c r="B30" s="167" t="s">
        <v>162</v>
      </c>
      <c r="C30" s="199" t="s">
        <v>45</v>
      </c>
      <c r="D30" s="200">
        <f>SUM(D27:D28)</f>
        <v>252.56</v>
      </c>
      <c r="E30" s="201">
        <f>SUM(E27:E29)</f>
        <v>6016.32</v>
      </c>
    </row>
    <row r="31" spans="1:5" ht="15" customHeight="1">
      <c r="A31" s="168" t="s">
        <v>45</v>
      </c>
      <c r="B31" s="149"/>
      <c r="C31" s="149"/>
      <c r="D31" s="149"/>
      <c r="E31" s="150" t="s">
        <v>45</v>
      </c>
    </row>
    <row r="32" spans="1:5" ht="15" customHeight="1">
      <c r="A32" s="168" t="s">
        <v>45</v>
      </c>
      <c r="B32" s="149"/>
      <c r="C32" s="149"/>
      <c r="D32" s="149"/>
      <c r="E32" s="150" t="s">
        <v>45</v>
      </c>
    </row>
    <row r="33" spans="1:11" ht="15" customHeight="1">
      <c r="A33" s="371" t="s">
        <v>163</v>
      </c>
      <c r="B33" s="372"/>
      <c r="C33" s="372"/>
      <c r="D33" s="372"/>
      <c r="E33" s="373"/>
    </row>
    <row r="36" spans="1:11" ht="21">
      <c r="A36" s="374" t="s">
        <v>164</v>
      </c>
      <c r="B36" s="375"/>
      <c r="C36" s="375"/>
      <c r="D36" s="375"/>
      <c r="E36" s="376"/>
    </row>
    <row r="37" spans="1:11" ht="15" customHeight="1">
      <c r="A37" s="377" t="s">
        <v>165</v>
      </c>
      <c r="B37" s="378"/>
      <c r="C37" s="378"/>
      <c r="D37" s="378"/>
      <c r="E37" s="379"/>
      <c r="K37" s="226" t="s">
        <v>166</v>
      </c>
    </row>
    <row r="38" spans="1:11" ht="15" customHeight="1">
      <c r="A38" s="219" t="s">
        <v>138</v>
      </c>
      <c r="B38" s="72" t="s">
        <v>167</v>
      </c>
      <c r="C38" s="231" t="s">
        <v>168</v>
      </c>
      <c r="D38" s="232" t="s">
        <v>169</v>
      </c>
      <c r="E38" s="220" t="s">
        <v>45</v>
      </c>
      <c r="G38">
        <v>0.1</v>
      </c>
      <c r="H38">
        <v>350</v>
      </c>
      <c r="I38">
        <v>535</v>
      </c>
      <c r="K38" s="226" t="s">
        <v>170</v>
      </c>
    </row>
    <row r="39" spans="1:11" ht="15" customHeight="1">
      <c r="A39" s="228">
        <v>1</v>
      </c>
      <c r="B39" s="226" t="s">
        <v>171</v>
      </c>
      <c r="C39" s="268">
        <v>0.15</v>
      </c>
      <c r="D39" s="233">
        <f>C39*3000</f>
        <v>450</v>
      </c>
      <c r="E39" s="266"/>
      <c r="G39">
        <v>0.25</v>
      </c>
      <c r="H39">
        <v>875</v>
      </c>
      <c r="I39">
        <v>110</v>
      </c>
      <c r="K39" s="226" t="s">
        <v>172</v>
      </c>
    </row>
    <row r="40" spans="1:11" ht="15" customHeight="1">
      <c r="A40" s="219" t="s">
        <v>138</v>
      </c>
      <c r="B40" s="72" t="s">
        <v>167</v>
      </c>
      <c r="C40" s="231" t="s">
        <v>45</v>
      </c>
      <c r="D40" s="232" t="s">
        <v>169</v>
      </c>
      <c r="E40" s="272" t="s">
        <v>45</v>
      </c>
      <c r="K40" s="227" t="s">
        <v>173</v>
      </c>
    </row>
    <row r="41" spans="1:11" ht="15" customHeight="1">
      <c r="A41" s="228">
        <v>1</v>
      </c>
      <c r="B41" s="226" t="s">
        <v>166</v>
      </c>
      <c r="C41" s="227" t="s">
        <v>174</v>
      </c>
      <c r="D41" s="233">
        <v>60</v>
      </c>
      <c r="E41" s="273" t="s">
        <v>175</v>
      </c>
      <c r="K41" s="226" t="s">
        <v>176</v>
      </c>
    </row>
    <row r="42" spans="1:11" ht="15" customHeight="1">
      <c r="A42" s="228">
        <v>2</v>
      </c>
      <c r="B42" s="226" t="s">
        <v>170</v>
      </c>
      <c r="C42" s="227" t="s">
        <v>177</v>
      </c>
      <c r="D42" s="233">
        <v>100</v>
      </c>
      <c r="E42" s="273" t="s">
        <v>175</v>
      </c>
      <c r="K42" s="226" t="s">
        <v>178</v>
      </c>
    </row>
    <row r="43" spans="1:11" ht="15" customHeight="1">
      <c r="A43" s="229">
        <v>3</v>
      </c>
      <c r="B43" s="226" t="s">
        <v>172</v>
      </c>
      <c r="C43" s="227" t="s">
        <v>179</v>
      </c>
      <c r="D43" s="233">
        <v>275</v>
      </c>
      <c r="E43" s="273" t="s">
        <v>175</v>
      </c>
      <c r="K43" s="138" t="s">
        <v>135</v>
      </c>
    </row>
    <row r="44" spans="1:11" ht="15" customHeight="1">
      <c r="A44" s="229">
        <v>4</v>
      </c>
      <c r="B44" s="227" t="s">
        <v>173</v>
      </c>
      <c r="C44" s="226" t="s">
        <v>45</v>
      </c>
      <c r="D44" s="233">
        <v>20</v>
      </c>
      <c r="E44" s="273" t="s">
        <v>175</v>
      </c>
      <c r="K44" s="30" t="s">
        <v>69</v>
      </c>
    </row>
    <row r="45" spans="1:11" ht="15" customHeight="1">
      <c r="A45" s="229">
        <v>5</v>
      </c>
      <c r="B45" s="226" t="s">
        <v>176</v>
      </c>
      <c r="C45" s="226" t="s">
        <v>45</v>
      </c>
      <c r="D45" s="233">
        <v>20</v>
      </c>
      <c r="E45" s="273" t="s">
        <v>175</v>
      </c>
      <c r="K45" s="32"/>
    </row>
    <row r="46" spans="1:11" ht="15" customHeight="1">
      <c r="A46" s="229">
        <v>6</v>
      </c>
      <c r="B46" s="226" t="s">
        <v>178</v>
      </c>
      <c r="C46" s="226"/>
      <c r="D46" s="233">
        <v>60</v>
      </c>
      <c r="E46" s="273" t="s">
        <v>180</v>
      </c>
      <c r="K46" s="34"/>
    </row>
    <row r="47" spans="1:11" ht="15" customHeight="1">
      <c r="A47" s="269"/>
      <c r="B47" s="270"/>
      <c r="C47" s="270"/>
      <c r="D47" s="271"/>
      <c r="E47" s="224"/>
      <c r="K47" s="34"/>
    </row>
    <row r="48" spans="1:11" ht="15" customHeight="1">
      <c r="A48" s="363" t="s">
        <v>181</v>
      </c>
      <c r="B48" s="364"/>
      <c r="C48" s="364"/>
      <c r="D48" s="267">
        <f>SUM(D39:D46)</f>
        <v>985</v>
      </c>
      <c r="E48" s="149"/>
    </row>
  </sheetData>
  <mergeCells count="6">
    <mergeCell ref="A48:C48"/>
    <mergeCell ref="A1:E1"/>
    <mergeCell ref="A3:E3"/>
    <mergeCell ref="A33:E33"/>
    <mergeCell ref="A36:E36"/>
    <mergeCell ref="A37:E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CAC5-3F67-41EF-AE4E-92D0C2AE130D}">
  <dimension ref="A1:I14"/>
  <sheetViews>
    <sheetView workbookViewId="0">
      <selection activeCell="A2" sqref="A2"/>
    </sheetView>
  </sheetViews>
  <sheetFormatPr defaultColWidth="9.28515625" defaultRowHeight="15" customHeight="1"/>
  <cols>
    <col min="1" max="1" width="5.42578125" bestFit="1" customWidth="1"/>
    <col min="2" max="2" width="78.7109375" customWidth="1"/>
    <col min="3" max="3" width="32" customWidth="1"/>
    <col min="7" max="7" width="4.5703125" bestFit="1" customWidth="1"/>
    <col min="8" max="8" width="8" bestFit="1" customWidth="1"/>
    <col min="9" max="9" width="6.85546875" bestFit="1" customWidth="1"/>
  </cols>
  <sheetData>
    <row r="1" spans="1:9" ht="26.65">
      <c r="A1" s="383" t="s">
        <v>182</v>
      </c>
      <c r="B1" s="384"/>
      <c r="C1" s="384"/>
      <c r="D1" s="384"/>
      <c r="E1" s="384"/>
      <c r="F1" s="204"/>
      <c r="G1" s="204"/>
      <c r="H1" s="204"/>
      <c r="I1" s="204"/>
    </row>
    <row r="2" spans="1:9" ht="15" customHeight="1">
      <c r="A2" s="377" t="s">
        <v>165</v>
      </c>
      <c r="B2" s="378"/>
      <c r="C2" s="378"/>
      <c r="D2" s="378"/>
      <c r="E2" s="378"/>
      <c r="F2" s="204"/>
      <c r="G2" s="204"/>
      <c r="H2" s="204"/>
      <c r="I2" s="204"/>
    </row>
    <row r="3" spans="1:9" ht="15" customHeight="1">
      <c r="A3" s="219" t="s">
        <v>138</v>
      </c>
      <c r="B3" s="72" t="s">
        <v>167</v>
      </c>
      <c r="C3" s="231" t="s">
        <v>45</v>
      </c>
      <c r="D3" s="232" t="s">
        <v>169</v>
      </c>
      <c r="E3" s="220" t="s">
        <v>45</v>
      </c>
      <c r="F3" s="204"/>
      <c r="G3" s="204"/>
      <c r="H3" s="204"/>
      <c r="I3" s="204"/>
    </row>
    <row r="4" spans="1:9" ht="15" customHeight="1">
      <c r="A4" s="228">
        <v>1</v>
      </c>
      <c r="B4" s="226" t="s">
        <v>166</v>
      </c>
      <c r="C4" s="227" t="s">
        <v>174</v>
      </c>
      <c r="D4" s="233">
        <v>60</v>
      </c>
      <c r="E4" s="221" t="s">
        <v>175</v>
      </c>
      <c r="F4" s="204"/>
      <c r="G4" s="204"/>
      <c r="H4" s="204"/>
      <c r="I4" s="204"/>
    </row>
    <row r="5" spans="1:9" ht="15" customHeight="1">
      <c r="A5" s="228">
        <v>2</v>
      </c>
      <c r="B5" s="226" t="s">
        <v>170</v>
      </c>
      <c r="C5" s="227" t="s">
        <v>177</v>
      </c>
      <c r="D5" s="233">
        <v>100</v>
      </c>
      <c r="E5" s="221" t="s">
        <v>175</v>
      </c>
      <c r="F5" s="204"/>
      <c r="G5" s="204"/>
      <c r="H5" s="204"/>
      <c r="I5" s="204"/>
    </row>
    <row r="6" spans="1:9" ht="15" customHeight="1">
      <c r="A6" s="229">
        <v>3</v>
      </c>
      <c r="B6" s="226" t="s">
        <v>172</v>
      </c>
      <c r="C6" s="227" t="s">
        <v>179</v>
      </c>
      <c r="D6" s="233">
        <v>200</v>
      </c>
      <c r="E6" s="221" t="s">
        <v>175</v>
      </c>
      <c r="F6" s="204"/>
      <c r="G6" s="204"/>
      <c r="H6" s="204"/>
      <c r="I6" s="204"/>
    </row>
    <row r="7" spans="1:9" ht="15" customHeight="1">
      <c r="A7" s="229">
        <v>4</v>
      </c>
      <c r="B7" s="227" t="s">
        <v>173</v>
      </c>
      <c r="C7" s="226" t="s">
        <v>45</v>
      </c>
      <c r="D7" s="233">
        <v>20</v>
      </c>
      <c r="E7" s="221" t="s">
        <v>175</v>
      </c>
      <c r="F7" s="204"/>
      <c r="G7" s="204"/>
      <c r="H7" s="204"/>
      <c r="I7" s="204"/>
    </row>
    <row r="8" spans="1:9" ht="15" customHeight="1">
      <c r="A8" s="229">
        <v>5</v>
      </c>
      <c r="B8" s="226" t="s">
        <v>176</v>
      </c>
      <c r="C8" s="226" t="s">
        <v>45</v>
      </c>
      <c r="D8" s="233">
        <v>20</v>
      </c>
      <c r="E8" s="221" t="s">
        <v>175</v>
      </c>
      <c r="F8" s="204"/>
      <c r="G8" s="204"/>
      <c r="H8" s="204"/>
      <c r="I8" s="204"/>
    </row>
    <row r="9" spans="1:9" ht="15" customHeight="1">
      <c r="A9" s="229">
        <v>6</v>
      </c>
      <c r="B9" s="226" t="s">
        <v>178</v>
      </c>
      <c r="C9" s="226"/>
      <c r="D9" s="233">
        <v>60</v>
      </c>
      <c r="E9" s="221" t="s">
        <v>180</v>
      </c>
      <c r="F9" s="204"/>
      <c r="G9" s="204"/>
      <c r="H9" s="204"/>
      <c r="I9" s="204"/>
    </row>
    <row r="10" spans="1:9" ht="15" customHeight="1">
      <c r="A10" s="230"/>
      <c r="B10" s="226"/>
      <c r="C10" s="226"/>
      <c r="D10" s="233"/>
      <c r="E10" s="222"/>
      <c r="F10" s="204"/>
      <c r="G10" s="204"/>
      <c r="H10" s="204"/>
      <c r="I10" s="204"/>
    </row>
    <row r="11" spans="1:9" ht="15" customHeight="1">
      <c r="A11" s="230"/>
      <c r="B11" s="416" t="s">
        <v>183</v>
      </c>
      <c r="C11" s="416"/>
      <c r="D11" s="233"/>
      <c r="E11" s="222"/>
      <c r="F11" s="204"/>
      <c r="G11" s="204"/>
      <c r="H11" s="204"/>
      <c r="I11" s="204"/>
    </row>
    <row r="12" spans="1:9" ht="15" customHeight="1">
      <c r="A12" s="230">
        <v>1</v>
      </c>
      <c r="B12" s="58" t="s">
        <v>184</v>
      </c>
      <c r="C12" s="226"/>
      <c r="D12" s="233"/>
      <c r="E12" s="222"/>
      <c r="F12" s="204"/>
      <c r="G12" s="204"/>
      <c r="H12" s="204"/>
      <c r="I12" s="204"/>
    </row>
    <row r="13" spans="1:9" ht="15" customHeight="1">
      <c r="A13" s="225">
        <v>2</v>
      </c>
      <c r="B13" s="223" t="s">
        <v>185</v>
      </c>
      <c r="C13" s="156" t="s">
        <v>45</v>
      </c>
      <c r="D13" s="235"/>
      <c r="E13" s="224" t="s">
        <v>45</v>
      </c>
      <c r="F13" s="204"/>
      <c r="G13" s="204"/>
      <c r="H13" s="204"/>
      <c r="I13" s="204"/>
    </row>
    <row r="14" spans="1:9" ht="15" customHeight="1">
      <c r="A14" s="385" t="s">
        <v>181</v>
      </c>
      <c r="B14" s="386"/>
      <c r="C14" s="386"/>
      <c r="D14" s="234">
        <f>SUM(D4:D13)</f>
        <v>460</v>
      </c>
      <c r="E14" s="149"/>
      <c r="F14" s="204"/>
      <c r="G14" s="204"/>
      <c r="H14" s="204"/>
      <c r="I14" s="204"/>
    </row>
  </sheetData>
  <mergeCells count="4">
    <mergeCell ref="A1:E1"/>
    <mergeCell ref="A2:E2"/>
    <mergeCell ref="B11:C11"/>
    <mergeCell ref="A14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98E4-A536-49E1-A2C9-E72FC3C11670}">
  <dimension ref="A1:L5"/>
  <sheetViews>
    <sheetView workbookViewId="0">
      <selection activeCell="L1" sqref="L1"/>
    </sheetView>
  </sheetViews>
  <sheetFormatPr defaultRowHeight="15"/>
  <cols>
    <col min="2" max="2" width="34.42578125" customWidth="1"/>
  </cols>
  <sheetData>
    <row r="1" spans="1:12">
      <c r="A1" s="358" t="s">
        <v>82</v>
      </c>
      <c r="B1" s="358" t="s">
        <v>0</v>
      </c>
      <c r="C1" s="358" t="s">
        <v>186</v>
      </c>
      <c r="D1" s="358" t="s">
        <v>187</v>
      </c>
      <c r="E1" s="358" t="s">
        <v>83</v>
      </c>
      <c r="F1" s="358" t="s">
        <v>84</v>
      </c>
      <c r="G1" s="358" t="s">
        <v>85</v>
      </c>
      <c r="H1" s="358" t="s">
        <v>86</v>
      </c>
      <c r="I1" s="358" t="s">
        <v>87</v>
      </c>
      <c r="J1" s="358" t="s">
        <v>88</v>
      </c>
      <c r="K1" s="358" t="s">
        <v>89</v>
      </c>
      <c r="L1" s="358" t="s">
        <v>90</v>
      </c>
    </row>
    <row r="2" spans="1:12">
      <c r="A2" s="97" t="s">
        <v>96</v>
      </c>
      <c r="B2" s="97" t="s">
        <v>97</v>
      </c>
      <c r="C2" s="97"/>
      <c r="D2" s="97"/>
      <c r="E2" s="97" t="s">
        <v>98</v>
      </c>
      <c r="F2" s="97" t="s">
        <v>99</v>
      </c>
      <c r="G2" s="97" t="s">
        <v>100</v>
      </c>
      <c r="H2" s="97"/>
      <c r="I2" s="97"/>
      <c r="J2" s="97"/>
      <c r="K2" s="97"/>
      <c r="L2" s="97"/>
    </row>
    <row r="3" spans="1:12">
      <c r="A3" s="360" t="s">
        <v>102</v>
      </c>
      <c r="B3" s="97" t="s">
        <v>101</v>
      </c>
      <c r="C3" s="97">
        <v>12.571428571428571</v>
      </c>
      <c r="D3" s="97">
        <v>1.2571428571428571</v>
      </c>
      <c r="E3" s="97" t="s">
        <v>98</v>
      </c>
      <c r="F3" s="97" t="s">
        <v>99</v>
      </c>
      <c r="G3" s="97"/>
      <c r="H3" s="97"/>
      <c r="I3" s="97"/>
      <c r="J3" s="97"/>
      <c r="K3" s="97"/>
      <c r="L3" s="97"/>
    </row>
    <row r="4" spans="1:12">
      <c r="A4" s="361"/>
      <c r="B4" s="97" t="s">
        <v>103</v>
      </c>
      <c r="C4" s="97">
        <v>35.428571428571431</v>
      </c>
      <c r="D4" s="97">
        <v>3.5428571428571431</v>
      </c>
      <c r="E4" s="97"/>
      <c r="F4" s="97"/>
      <c r="G4" s="97" t="s">
        <v>100</v>
      </c>
      <c r="H4" s="97" t="s">
        <v>104</v>
      </c>
      <c r="I4" s="97" t="s">
        <v>105</v>
      </c>
      <c r="J4" s="97" t="s">
        <v>106</v>
      </c>
      <c r="K4" s="97"/>
      <c r="L4" s="97"/>
    </row>
    <row r="5" spans="1:12">
      <c r="A5" s="362"/>
      <c r="B5" s="97" t="s">
        <v>107</v>
      </c>
      <c r="C5" s="97">
        <v>13.714285714285714</v>
      </c>
      <c r="D5" s="97">
        <v>1.3714285714285714</v>
      </c>
      <c r="E5" s="97"/>
      <c r="F5" s="97"/>
      <c r="G5" s="97"/>
      <c r="H5" s="97"/>
      <c r="I5" s="97"/>
      <c r="J5" s="97"/>
      <c r="K5" s="97" t="s">
        <v>108</v>
      </c>
      <c r="L5" s="97" t="s">
        <v>109</v>
      </c>
    </row>
  </sheetData>
  <mergeCells count="1">
    <mergeCell ref="A3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48EE-0FC5-4BCC-A540-E979519676C3}">
  <dimension ref="A1:A23"/>
  <sheetViews>
    <sheetView workbookViewId="0">
      <selection activeCell="A35" sqref="A35"/>
    </sheetView>
  </sheetViews>
  <sheetFormatPr defaultRowHeight="14.25"/>
  <cols>
    <col min="1" max="1" width="120" bestFit="1" customWidth="1"/>
  </cols>
  <sheetData>
    <row r="1" spans="1:1">
      <c r="A1" s="140" t="s">
        <v>188</v>
      </c>
    </row>
    <row r="2" spans="1:1">
      <c r="A2" s="118" t="s">
        <v>189</v>
      </c>
    </row>
    <row r="3" spans="1:1">
      <c r="A3" s="118" t="s">
        <v>190</v>
      </c>
    </row>
    <row r="4" spans="1:1">
      <c r="A4" s="118" t="s">
        <v>191</v>
      </c>
    </row>
    <row r="5" spans="1:1">
      <c r="A5" s="140" t="s">
        <v>192</v>
      </c>
    </row>
    <row r="6" spans="1:1">
      <c r="A6" s="118" t="s">
        <v>193</v>
      </c>
    </row>
    <row r="7" spans="1:1">
      <c r="A7" s="118" t="s">
        <v>194</v>
      </c>
    </row>
    <row r="8" spans="1:1">
      <c r="A8" s="118" t="s">
        <v>195</v>
      </c>
    </row>
    <row r="9" spans="1:1">
      <c r="A9" s="140" t="s">
        <v>196</v>
      </c>
    </row>
    <row r="10" spans="1:1">
      <c r="A10" s="118" t="s">
        <v>197</v>
      </c>
    </row>
    <row r="11" spans="1:1">
      <c r="A11" s="118" t="s">
        <v>198</v>
      </c>
    </row>
    <row r="12" spans="1:1">
      <c r="A12" s="118" t="s">
        <v>199</v>
      </c>
    </row>
    <row r="13" spans="1:1">
      <c r="A13" s="140" t="s">
        <v>200</v>
      </c>
    </row>
    <row r="14" spans="1:1">
      <c r="A14" s="118" t="s">
        <v>201</v>
      </c>
    </row>
    <row r="15" spans="1:1">
      <c r="A15" s="118" t="s">
        <v>202</v>
      </c>
    </row>
    <row r="16" spans="1:1">
      <c r="A16" s="118" t="s">
        <v>203</v>
      </c>
    </row>
    <row r="17" spans="1:1">
      <c r="A17" s="140" t="s">
        <v>204</v>
      </c>
    </row>
    <row r="18" spans="1:1">
      <c r="A18" s="141" t="s">
        <v>205</v>
      </c>
    </row>
    <row r="19" spans="1:1">
      <c r="A19" s="141" t="s">
        <v>206</v>
      </c>
    </row>
    <row r="20" spans="1:1">
      <c r="A20" s="140" t="s">
        <v>207</v>
      </c>
    </row>
    <row r="21" spans="1:1">
      <c r="A21" s="118" t="s">
        <v>208</v>
      </c>
    </row>
    <row r="22" spans="1:1">
      <c r="A22" s="118" t="s">
        <v>209</v>
      </c>
    </row>
    <row r="23" spans="1:1">
      <c r="A23" s="118" t="s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099C-D016-4180-B47B-C70C1F7AC4C1}">
  <dimension ref="A1:H37"/>
  <sheetViews>
    <sheetView workbookViewId="0">
      <selection activeCell="E5" sqref="A5:E5"/>
    </sheetView>
  </sheetViews>
  <sheetFormatPr defaultRowHeight="15" customHeight="1"/>
  <cols>
    <col min="1" max="1" width="92.42578125" customWidth="1"/>
    <col min="4" max="4" width="21.140625" customWidth="1"/>
  </cols>
  <sheetData>
    <row r="1" spans="1:8" ht="15" customHeight="1">
      <c r="A1" s="202" t="s">
        <v>211</v>
      </c>
      <c r="B1" s="203">
        <v>40</v>
      </c>
      <c r="C1" s="204"/>
      <c r="D1" s="204"/>
      <c r="E1" s="204"/>
      <c r="F1" s="204"/>
    </row>
    <row r="2" spans="1:8" ht="26.25" customHeight="1">
      <c r="A2" s="213" t="s">
        <v>212</v>
      </c>
      <c r="B2" s="214" t="s">
        <v>213</v>
      </c>
      <c r="C2" s="214" t="s">
        <v>214</v>
      </c>
      <c r="D2" s="214" t="s">
        <v>215</v>
      </c>
      <c r="E2" s="214" t="s">
        <v>216</v>
      </c>
      <c r="F2" s="214" t="s">
        <v>217</v>
      </c>
    </row>
    <row r="3" spans="1:8" ht="25.5" customHeight="1">
      <c r="A3" s="205" t="s">
        <v>218</v>
      </c>
      <c r="B3" s="207">
        <v>0.6</v>
      </c>
      <c r="C3" s="208">
        <f>B1*B3</f>
        <v>24</v>
      </c>
      <c r="D3" s="208" t="s">
        <v>219</v>
      </c>
      <c r="E3" s="208">
        <v>1</v>
      </c>
      <c r="F3" s="208">
        <f>C3*E3</f>
        <v>24</v>
      </c>
    </row>
    <row r="4" spans="1:8" ht="15" customHeight="1">
      <c r="A4" s="206" t="s">
        <v>220</v>
      </c>
      <c r="B4" s="209">
        <v>0.4</v>
      </c>
      <c r="C4" s="210">
        <f>B4*B1</f>
        <v>16</v>
      </c>
      <c r="D4" s="211" t="s">
        <v>221</v>
      </c>
      <c r="E4" s="210">
        <v>3</v>
      </c>
      <c r="F4" s="210">
        <f>C4*E4</f>
        <v>48</v>
      </c>
    </row>
    <row r="5" spans="1:8" ht="15" customHeight="1">
      <c r="A5" s="380" t="s">
        <v>60</v>
      </c>
      <c r="B5" s="380"/>
      <c r="C5" s="380"/>
      <c r="D5" s="380"/>
      <c r="E5" s="380"/>
      <c r="F5" s="216">
        <f>SUM(F3:F4)</f>
        <v>72</v>
      </c>
      <c r="H5">
        <f>F5/40</f>
        <v>1.8</v>
      </c>
    </row>
    <row r="10" spans="1:8" ht="15" customHeight="1">
      <c r="A10" s="381" t="s">
        <v>222</v>
      </c>
      <c r="B10" s="381"/>
      <c r="C10" s="381"/>
      <c r="D10" s="381"/>
      <c r="E10" s="381"/>
    </row>
    <row r="11" spans="1:8" ht="15" customHeight="1">
      <c r="A11" s="215" t="s">
        <v>223</v>
      </c>
      <c r="B11" s="215" t="s">
        <v>224</v>
      </c>
      <c r="C11" s="215" t="s">
        <v>225</v>
      </c>
      <c r="D11" s="215" t="s">
        <v>226</v>
      </c>
      <c r="E11" s="215" t="s">
        <v>227</v>
      </c>
    </row>
    <row r="12" spans="1:8" ht="15" customHeight="1">
      <c r="A12" s="97" t="s">
        <v>228</v>
      </c>
      <c r="B12" s="212">
        <v>2</v>
      </c>
      <c r="C12" s="212">
        <v>0</v>
      </c>
      <c r="D12" s="212">
        <v>0</v>
      </c>
      <c r="E12" s="212">
        <v>2</v>
      </c>
    </row>
    <row r="13" spans="1:8" ht="15" customHeight="1">
      <c r="A13" s="97" t="s">
        <v>229</v>
      </c>
      <c r="B13" s="212">
        <v>2</v>
      </c>
      <c r="C13" s="212">
        <v>14</v>
      </c>
      <c r="D13" s="212">
        <v>4</v>
      </c>
      <c r="E13" s="212">
        <v>20</v>
      </c>
    </row>
    <row r="14" spans="1:8" ht="15" customHeight="1">
      <c r="A14" s="97" t="s">
        <v>230</v>
      </c>
      <c r="B14" s="212">
        <v>1</v>
      </c>
      <c r="C14" s="212">
        <v>6</v>
      </c>
      <c r="D14" s="212">
        <v>2</v>
      </c>
      <c r="E14" s="212">
        <v>9</v>
      </c>
    </row>
    <row r="15" spans="1:8" ht="15" customHeight="1">
      <c r="A15" s="97" t="s">
        <v>231</v>
      </c>
      <c r="B15" s="212">
        <v>1</v>
      </c>
      <c r="C15" s="212">
        <v>3</v>
      </c>
      <c r="D15" s="212">
        <v>2</v>
      </c>
      <c r="E15" s="212">
        <v>6</v>
      </c>
    </row>
    <row r="16" spans="1:8" ht="15" customHeight="1">
      <c r="A16" s="217" t="s">
        <v>60</v>
      </c>
      <c r="B16" s="218">
        <v>6</v>
      </c>
      <c r="C16" s="218">
        <v>23</v>
      </c>
      <c r="D16" s="218">
        <v>8</v>
      </c>
      <c r="E16" s="218">
        <v>37</v>
      </c>
    </row>
    <row r="19" spans="1:5" ht="15" customHeight="1">
      <c r="A19" s="381" t="s">
        <v>232</v>
      </c>
      <c r="B19" s="381"/>
      <c r="C19" s="381"/>
      <c r="D19" s="381"/>
      <c r="E19" s="381"/>
    </row>
    <row r="20" spans="1:5" ht="15" customHeight="1">
      <c r="A20" s="215" t="s">
        <v>223</v>
      </c>
      <c r="B20" s="215" t="s">
        <v>224</v>
      </c>
      <c r="C20" s="215" t="s">
        <v>225</v>
      </c>
      <c r="D20" s="215" t="s">
        <v>226</v>
      </c>
      <c r="E20" s="215" t="s">
        <v>227</v>
      </c>
    </row>
    <row r="21" spans="1:5" ht="15" customHeight="1">
      <c r="A21" s="97" t="s">
        <v>233</v>
      </c>
      <c r="B21" s="212">
        <v>2</v>
      </c>
      <c r="C21" s="212">
        <v>0</v>
      </c>
      <c r="D21" s="212">
        <v>0</v>
      </c>
      <c r="E21" s="212">
        <f>SUM(B21:D21)</f>
        <v>2</v>
      </c>
    </row>
    <row r="22" spans="1:5" ht="15" customHeight="1">
      <c r="A22" s="97" t="s">
        <v>234</v>
      </c>
      <c r="B22" s="212">
        <v>2</v>
      </c>
      <c r="C22" s="212">
        <v>12</v>
      </c>
      <c r="D22" s="212">
        <v>2</v>
      </c>
      <c r="E22" s="212">
        <f t="shared" ref="E22:E24" si="0">SUM(B22:D22)</f>
        <v>16</v>
      </c>
    </row>
    <row r="23" spans="1:5" ht="15" customHeight="1">
      <c r="A23" s="97" t="s">
        <v>230</v>
      </c>
      <c r="B23" s="212">
        <v>1</v>
      </c>
      <c r="C23" s="212">
        <v>4</v>
      </c>
      <c r="D23" s="212">
        <v>1</v>
      </c>
      <c r="E23" s="212">
        <f t="shared" si="0"/>
        <v>6</v>
      </c>
    </row>
    <row r="24" spans="1:5" ht="15" customHeight="1">
      <c r="A24" s="97" t="s">
        <v>231</v>
      </c>
      <c r="B24" s="212">
        <v>1</v>
      </c>
      <c r="C24" s="212">
        <v>2</v>
      </c>
      <c r="D24" s="212">
        <v>1</v>
      </c>
      <c r="E24" s="212">
        <f t="shared" si="0"/>
        <v>4</v>
      </c>
    </row>
    <row r="25" spans="1:5" ht="15" customHeight="1">
      <c r="A25" s="217" t="s">
        <v>60</v>
      </c>
      <c r="B25" s="218">
        <f>SUM(B21:B24)</f>
        <v>6</v>
      </c>
      <c r="C25" s="218">
        <f>SUM(C21:C24)</f>
        <v>18</v>
      </c>
      <c r="D25" s="218">
        <f>SUM(D21:D24)</f>
        <v>4</v>
      </c>
      <c r="E25" s="218">
        <f>SUM(E21:E24)</f>
        <v>28</v>
      </c>
    </row>
    <row r="29" spans="1:5" ht="15" customHeight="1">
      <c r="A29" s="382" t="s">
        <v>235</v>
      </c>
      <c r="B29" s="382"/>
      <c r="C29" s="382"/>
      <c r="D29" s="382"/>
      <c r="E29" s="382"/>
    </row>
    <row r="30" spans="1:5" ht="15" customHeight="1">
      <c r="A30" s="275" t="s">
        <v>223</v>
      </c>
      <c r="B30" s="275" t="s">
        <v>224</v>
      </c>
      <c r="C30" s="275" t="s">
        <v>225</v>
      </c>
      <c r="D30" s="275" t="s">
        <v>226</v>
      </c>
      <c r="E30" s="275" t="s">
        <v>227</v>
      </c>
    </row>
    <row r="31" spans="1:5" ht="15" customHeight="1">
      <c r="A31" s="97" t="s">
        <v>236</v>
      </c>
      <c r="B31" s="276">
        <v>2</v>
      </c>
      <c r="C31" s="276">
        <v>0</v>
      </c>
      <c r="D31" s="276">
        <v>0</v>
      </c>
      <c r="E31" s="276">
        <f>SUM(B31:D31)</f>
        <v>2</v>
      </c>
    </row>
    <row r="32" spans="1:5" ht="15" customHeight="1">
      <c r="A32" s="97" t="s">
        <v>237</v>
      </c>
      <c r="B32" s="276">
        <v>3</v>
      </c>
      <c r="C32" s="276">
        <v>12</v>
      </c>
      <c r="D32" s="276">
        <v>3</v>
      </c>
      <c r="E32" s="276">
        <f>SUM(B32:D32)</f>
        <v>18</v>
      </c>
    </row>
    <row r="33" spans="1:5" ht="15" customHeight="1">
      <c r="A33" s="97" t="s">
        <v>238</v>
      </c>
      <c r="B33" s="276">
        <v>2</v>
      </c>
      <c r="C33" s="276">
        <v>4</v>
      </c>
      <c r="D33" s="276">
        <v>2</v>
      </c>
      <c r="E33" s="276">
        <f>SUM(B33:D33)</f>
        <v>8</v>
      </c>
    </row>
    <row r="34" spans="1:5" ht="15" customHeight="1">
      <c r="A34" s="97" t="s">
        <v>239</v>
      </c>
      <c r="B34" s="276">
        <v>1</v>
      </c>
      <c r="C34" s="276">
        <v>2</v>
      </c>
      <c r="D34" s="276">
        <v>1</v>
      </c>
      <c r="E34" s="276">
        <f>SUM(B34:D34)</f>
        <v>4</v>
      </c>
    </row>
    <row r="35" spans="1:5" ht="15" customHeight="1">
      <c r="A35" s="97" t="s">
        <v>240</v>
      </c>
      <c r="B35" s="276">
        <v>2</v>
      </c>
      <c r="C35" s="276">
        <v>8</v>
      </c>
      <c r="D35" s="276">
        <v>2</v>
      </c>
      <c r="E35" s="276">
        <f>SUM(B35:D35)</f>
        <v>12</v>
      </c>
    </row>
    <row r="36" spans="1:5" ht="15" customHeight="1">
      <c r="A36" s="97" t="s">
        <v>231</v>
      </c>
      <c r="B36" s="276">
        <v>2</v>
      </c>
      <c r="C36" s="276">
        <v>4</v>
      </c>
      <c r="D36" s="276">
        <v>2</v>
      </c>
      <c r="E36" s="276">
        <f>SUM(B36:D36)</f>
        <v>8</v>
      </c>
    </row>
    <row r="37" spans="1:5" ht="15" customHeight="1">
      <c r="A37" s="97" t="s">
        <v>241</v>
      </c>
      <c r="B37" s="276">
        <f>SUM(B31:B36)</f>
        <v>12</v>
      </c>
      <c r="C37" s="276">
        <f>SUM(C31:C36)</f>
        <v>30</v>
      </c>
      <c r="D37" s="276">
        <f>SUM(D31:D36)</f>
        <v>10</v>
      </c>
      <c r="E37" s="276">
        <f>SUM(E31:E36)</f>
        <v>52</v>
      </c>
    </row>
  </sheetData>
  <mergeCells count="4">
    <mergeCell ref="A5:E5"/>
    <mergeCell ref="A10:E10"/>
    <mergeCell ref="A19:E19"/>
    <mergeCell ref="A29:E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8DF3-34F4-4081-AE66-FD9DCE1CEC74}">
  <dimension ref="A1:D8"/>
  <sheetViews>
    <sheetView workbookViewId="0">
      <selection activeCell="D8" sqref="D8"/>
    </sheetView>
  </sheetViews>
  <sheetFormatPr defaultColWidth="45" defaultRowHeight="14.25"/>
  <sheetData>
    <row r="1" spans="1:4" ht="36.75" customHeight="1">
      <c r="A1" s="251" t="s">
        <v>242</v>
      </c>
      <c r="B1" s="251" t="s">
        <v>243</v>
      </c>
      <c r="C1" s="251" t="s">
        <v>244</v>
      </c>
      <c r="D1" s="251" t="s">
        <v>245</v>
      </c>
    </row>
    <row r="2" spans="1:4" ht="71.25">
      <c r="A2" s="256" t="s">
        <v>246</v>
      </c>
      <c r="B2" s="257" t="s">
        <v>247</v>
      </c>
      <c r="C2" s="258" t="s">
        <v>248</v>
      </c>
      <c r="D2" s="258" t="s">
        <v>249</v>
      </c>
    </row>
    <row r="3" spans="1:4" ht="28.5">
      <c r="A3" s="256" t="s">
        <v>250</v>
      </c>
      <c r="B3" s="257" t="s">
        <v>251</v>
      </c>
      <c r="C3" s="259" t="s">
        <v>252</v>
      </c>
      <c r="D3" s="258"/>
    </row>
    <row r="4" spans="1:4" ht="28.5">
      <c r="A4" s="256" t="s">
        <v>253</v>
      </c>
      <c r="B4" s="257" t="s">
        <v>254</v>
      </c>
      <c r="C4" s="258" t="s">
        <v>255</v>
      </c>
      <c r="D4" s="258" t="s">
        <v>256</v>
      </c>
    </row>
    <row r="5" spans="1:4" ht="28.5">
      <c r="A5" s="256" t="s">
        <v>257</v>
      </c>
      <c r="B5" s="257" t="s">
        <v>258</v>
      </c>
      <c r="C5" s="258" t="s">
        <v>259</v>
      </c>
      <c r="D5" s="258" t="s">
        <v>260</v>
      </c>
    </row>
    <row r="6" spans="1:4" ht="28.5">
      <c r="A6" s="256" t="s">
        <v>261</v>
      </c>
      <c r="B6" s="257" t="s">
        <v>262</v>
      </c>
      <c r="C6" s="258" t="s">
        <v>263</v>
      </c>
      <c r="D6" s="258" t="s">
        <v>264</v>
      </c>
    </row>
    <row r="7" spans="1:4" ht="28.5">
      <c r="A7" s="256" t="s">
        <v>265</v>
      </c>
      <c r="B7" s="257" t="s">
        <v>266</v>
      </c>
      <c r="C7" s="258" t="s">
        <v>267</v>
      </c>
      <c r="D7" s="258" t="s">
        <v>268</v>
      </c>
    </row>
    <row r="8" spans="1:4" ht="28.5">
      <c r="A8" s="256" t="s">
        <v>269</v>
      </c>
      <c r="B8" s="257" t="s">
        <v>270</v>
      </c>
      <c r="C8" s="258" t="s">
        <v>271</v>
      </c>
      <c r="D8" s="258" t="s">
        <v>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9281-7B80-4711-A2C1-9D50996DC996}">
  <dimension ref="A1:E66"/>
  <sheetViews>
    <sheetView topLeftCell="B33" workbookViewId="0">
      <selection activeCell="E26" sqref="B26:E28"/>
    </sheetView>
  </sheetViews>
  <sheetFormatPr defaultRowHeight="14.25"/>
  <cols>
    <col min="1" max="1" width="8.5703125" customWidth="1"/>
    <col min="2" max="2" width="68.7109375" customWidth="1"/>
    <col min="3" max="3" width="16.5703125" customWidth="1"/>
    <col min="4" max="4" width="13.5703125" bestFit="1" customWidth="1"/>
    <col min="5" max="5" width="22.7109375" customWidth="1"/>
  </cols>
  <sheetData>
    <row r="1" spans="1:5" ht="27" thickBot="1">
      <c r="A1" s="390" t="s">
        <v>273</v>
      </c>
      <c r="B1" s="391"/>
      <c r="C1" s="391"/>
      <c r="D1" s="391"/>
      <c r="E1" s="392"/>
    </row>
    <row r="2" spans="1:5" ht="14.65" thickBot="1">
      <c r="A2" s="43"/>
      <c r="B2" s="44"/>
      <c r="C2" s="44"/>
      <c r="D2" s="45"/>
      <c r="E2" s="46"/>
    </row>
    <row r="3" spans="1:5">
      <c r="A3" s="393" t="s">
        <v>137</v>
      </c>
      <c r="B3" s="394"/>
      <c r="C3" s="394"/>
      <c r="D3" s="394"/>
      <c r="E3" s="395"/>
    </row>
    <row r="4" spans="1:5">
      <c r="A4" s="47" t="s">
        <v>274</v>
      </c>
      <c r="B4" s="48" t="s">
        <v>139</v>
      </c>
      <c r="C4" s="49" t="s">
        <v>94</v>
      </c>
      <c r="D4" s="49" t="s">
        <v>140</v>
      </c>
      <c r="E4" s="50" t="s">
        <v>132</v>
      </c>
    </row>
    <row r="5" spans="1:5">
      <c r="A5" s="51" t="s">
        <v>275</v>
      </c>
      <c r="B5" s="52" t="s">
        <v>276</v>
      </c>
      <c r="C5" s="53">
        <v>22</v>
      </c>
      <c r="D5" s="54">
        <v>174</v>
      </c>
      <c r="E5" s="55">
        <f>C5*D5</f>
        <v>3828</v>
      </c>
    </row>
    <row r="6" spans="1:5">
      <c r="A6" s="51" t="s">
        <v>277</v>
      </c>
      <c r="B6" s="52" t="s">
        <v>278</v>
      </c>
      <c r="C6" s="53">
        <v>22</v>
      </c>
      <c r="D6" s="54">
        <v>8</v>
      </c>
      <c r="E6" s="55">
        <f t="shared" ref="E6:E10" si="0">C6*D6</f>
        <v>176</v>
      </c>
    </row>
    <row r="7" spans="1:5">
      <c r="A7" s="51" t="s">
        <v>279</v>
      </c>
      <c r="B7" s="52" t="s">
        <v>280</v>
      </c>
      <c r="C7" s="53">
        <v>22</v>
      </c>
      <c r="D7" s="54">
        <v>24</v>
      </c>
      <c r="E7" s="55">
        <f t="shared" si="0"/>
        <v>528</v>
      </c>
    </row>
    <row r="8" spans="1:5">
      <c r="A8" s="51" t="s">
        <v>281</v>
      </c>
      <c r="B8" s="52" t="s">
        <v>282</v>
      </c>
      <c r="C8" s="53">
        <v>22</v>
      </c>
      <c r="D8" s="54">
        <v>8</v>
      </c>
      <c r="E8" s="55">
        <f t="shared" si="0"/>
        <v>176</v>
      </c>
    </row>
    <row r="9" spans="1:5">
      <c r="A9" s="51" t="s">
        <v>283</v>
      </c>
      <c r="B9" s="52" t="s">
        <v>284</v>
      </c>
      <c r="C9" s="53">
        <v>22</v>
      </c>
      <c r="D9" s="54">
        <v>24</v>
      </c>
      <c r="E9" s="55">
        <f t="shared" si="0"/>
        <v>528</v>
      </c>
    </row>
    <row r="10" spans="1:5">
      <c r="A10" s="51" t="s">
        <v>285</v>
      </c>
      <c r="B10" s="52" t="s">
        <v>155</v>
      </c>
      <c r="C10" s="53">
        <v>22</v>
      </c>
      <c r="D10" s="54">
        <v>32</v>
      </c>
      <c r="E10" s="55">
        <f t="shared" si="0"/>
        <v>704</v>
      </c>
    </row>
    <row r="11" spans="1:5">
      <c r="A11" s="47" t="s">
        <v>286</v>
      </c>
      <c r="B11" s="48" t="s">
        <v>157</v>
      </c>
      <c r="C11" s="48"/>
      <c r="D11" s="49" t="s">
        <v>45</v>
      </c>
      <c r="E11" s="50" t="s">
        <v>45</v>
      </c>
    </row>
    <row r="12" spans="1:5">
      <c r="A12" s="51" t="s">
        <v>287</v>
      </c>
      <c r="B12" s="56" t="s">
        <v>158</v>
      </c>
      <c r="C12" s="57">
        <v>30</v>
      </c>
      <c r="D12" s="54">
        <f>SUM(D5:D10)*0.25</f>
        <v>67.5</v>
      </c>
      <c r="E12" s="55">
        <f>C12*D12</f>
        <v>2025</v>
      </c>
    </row>
    <row r="13" spans="1:5">
      <c r="A13" s="51" t="s">
        <v>288</v>
      </c>
      <c r="B13" s="56" t="s">
        <v>156</v>
      </c>
      <c r="C13" s="57">
        <v>12</v>
      </c>
      <c r="D13" s="54">
        <v>8</v>
      </c>
      <c r="E13" s="55">
        <f>C13*D13</f>
        <v>96</v>
      </c>
    </row>
    <row r="14" spans="1:5">
      <c r="A14" s="47" t="s">
        <v>289</v>
      </c>
      <c r="B14" s="48" t="s">
        <v>290</v>
      </c>
      <c r="C14" s="48"/>
      <c r="D14" s="49" t="s">
        <v>45</v>
      </c>
      <c r="E14" s="50" t="s">
        <v>45</v>
      </c>
    </row>
    <row r="15" spans="1:5">
      <c r="A15" s="51" t="s">
        <v>291</v>
      </c>
      <c r="B15" s="52" t="s">
        <v>292</v>
      </c>
      <c r="C15" s="52"/>
      <c r="D15" s="58" t="s">
        <v>293</v>
      </c>
      <c r="E15" s="55">
        <f>[2]Scraper_Estimation!C83</f>
        <v>640</v>
      </c>
    </row>
    <row r="16" spans="1:5">
      <c r="A16" s="59" t="s">
        <v>45</v>
      </c>
      <c r="B16" s="60" t="s">
        <v>159</v>
      </c>
      <c r="C16" s="60"/>
      <c r="D16" s="61">
        <f>SUM(D5:D13)</f>
        <v>345.5</v>
      </c>
      <c r="E16" s="62">
        <f>SUM(E5:E15)</f>
        <v>8701</v>
      </c>
    </row>
    <row r="17" spans="1:5">
      <c r="A17" s="59" t="s">
        <v>45</v>
      </c>
      <c r="B17" s="60" t="s">
        <v>294</v>
      </c>
      <c r="C17" s="63">
        <v>22</v>
      </c>
      <c r="D17" s="64">
        <f>D16*10%</f>
        <v>34.550000000000004</v>
      </c>
      <c r="E17" s="65">
        <f>C17*D17</f>
        <v>760.10000000000014</v>
      </c>
    </row>
    <row r="18" spans="1:5" ht="14.65" thickBot="1">
      <c r="A18" s="66" t="s">
        <v>45</v>
      </c>
      <c r="B18" s="67" t="s">
        <v>162</v>
      </c>
      <c r="C18" s="67"/>
      <c r="D18" s="68"/>
      <c r="E18" s="69">
        <f>SUM(E16:E17)</f>
        <v>9461.1</v>
      </c>
    </row>
    <row r="19" spans="1:5" ht="14.65" thickBot="1">
      <c r="A19" s="43"/>
      <c r="B19" s="44"/>
      <c r="C19" s="44"/>
      <c r="D19" s="45"/>
      <c r="E19" s="46"/>
    </row>
    <row r="20" spans="1:5">
      <c r="A20" s="396" t="s">
        <v>295</v>
      </c>
      <c r="B20" s="397"/>
      <c r="C20" s="397"/>
      <c r="D20" s="397"/>
      <c r="E20" s="398"/>
    </row>
    <row r="21" spans="1:5">
      <c r="A21" s="70" t="s">
        <v>296</v>
      </c>
      <c r="B21" s="71" t="s">
        <v>297</v>
      </c>
      <c r="C21" s="71"/>
      <c r="D21" s="72" t="s">
        <v>298</v>
      </c>
      <c r="E21" s="73" t="s">
        <v>299</v>
      </c>
    </row>
    <row r="22" spans="1:5">
      <c r="A22" s="52" t="s">
        <v>300</v>
      </c>
      <c r="B22" s="74" t="s">
        <v>301</v>
      </c>
      <c r="C22" s="74"/>
      <c r="D22" s="54">
        <v>0.25</v>
      </c>
      <c r="E22" s="75">
        <f>D22*3500</f>
        <v>875</v>
      </c>
    </row>
    <row r="23" spans="1:5">
      <c r="A23" s="48" t="s">
        <v>286</v>
      </c>
      <c r="B23" s="48" t="s">
        <v>302</v>
      </c>
      <c r="C23" s="48"/>
      <c r="D23" s="49" t="s">
        <v>45</v>
      </c>
      <c r="E23" s="76" t="s">
        <v>45</v>
      </c>
    </row>
    <row r="24" spans="1:5">
      <c r="A24" s="52" t="s">
        <v>303</v>
      </c>
      <c r="B24" s="74" t="s">
        <v>304</v>
      </c>
      <c r="C24" s="52"/>
      <c r="D24" s="58" t="s">
        <v>293</v>
      </c>
      <c r="E24" s="77">
        <v>95</v>
      </c>
    </row>
    <row r="25" spans="1:5">
      <c r="A25" s="52" t="s">
        <v>305</v>
      </c>
      <c r="B25" s="74" t="s">
        <v>170</v>
      </c>
      <c r="C25" s="52"/>
      <c r="D25" s="58" t="s">
        <v>293</v>
      </c>
      <c r="E25" s="77">
        <v>200</v>
      </c>
    </row>
    <row r="26" spans="1:5">
      <c r="A26" s="52" t="s">
        <v>306</v>
      </c>
      <c r="B26" s="74" t="s">
        <v>307</v>
      </c>
      <c r="C26" s="52"/>
      <c r="D26" s="58" t="s">
        <v>293</v>
      </c>
      <c r="E26" s="77">
        <v>275</v>
      </c>
    </row>
    <row r="27" spans="1:5">
      <c r="A27" s="52" t="s">
        <v>308</v>
      </c>
      <c r="B27" s="74" t="s">
        <v>309</v>
      </c>
      <c r="C27" s="52"/>
      <c r="D27" s="58" t="s">
        <v>293</v>
      </c>
      <c r="E27" s="77">
        <v>60</v>
      </c>
    </row>
    <row r="28" spans="1:5">
      <c r="A28" s="52" t="s">
        <v>310</v>
      </c>
      <c r="B28" s="74" t="s">
        <v>311</v>
      </c>
      <c r="C28" s="52"/>
      <c r="D28" s="58" t="s">
        <v>293</v>
      </c>
      <c r="E28" s="77">
        <v>10</v>
      </c>
    </row>
    <row r="29" spans="1:5" ht="14.65" thickBot="1">
      <c r="A29" s="78" t="s">
        <v>45</v>
      </c>
      <c r="B29" s="79" t="s">
        <v>181</v>
      </c>
      <c r="C29" s="79"/>
      <c r="D29" s="80" t="s">
        <v>45</v>
      </c>
      <c r="E29" s="81">
        <f>SUM(E22:E28)</f>
        <v>1515</v>
      </c>
    </row>
    <row r="30" spans="1:5">
      <c r="A30" s="43"/>
      <c r="B30" s="44"/>
      <c r="C30" s="44"/>
      <c r="D30" s="45"/>
      <c r="E30" s="46"/>
    </row>
    <row r="31" spans="1:5" ht="14.65" thickBot="1">
      <c r="A31" s="112" t="s">
        <v>312</v>
      </c>
      <c r="B31" s="82"/>
      <c r="C31" s="82"/>
      <c r="D31" s="83"/>
      <c r="E31" s="84"/>
    </row>
    <row r="34" spans="1:5" ht="14.65" thickBot="1"/>
    <row r="35" spans="1:5" ht="26.65">
      <c r="A35" s="399" t="s">
        <v>313</v>
      </c>
      <c r="B35" s="400"/>
      <c r="C35" s="400"/>
      <c r="D35" s="400"/>
      <c r="E35" s="401"/>
    </row>
    <row r="36" spans="1:5" ht="27" thickBot="1">
      <c r="A36" s="85"/>
      <c r="B36" s="86"/>
      <c r="C36" s="86"/>
      <c r="D36" s="86"/>
      <c r="E36" s="87"/>
    </row>
    <row r="37" spans="1:5">
      <c r="A37" s="402" t="s">
        <v>137</v>
      </c>
      <c r="B37" s="403"/>
      <c r="C37" s="403"/>
      <c r="D37" s="403"/>
      <c r="E37" s="404"/>
    </row>
    <row r="38" spans="1:5">
      <c r="A38" s="88" t="s">
        <v>274</v>
      </c>
      <c r="B38" s="49" t="s">
        <v>139</v>
      </c>
      <c r="C38" s="49" t="s">
        <v>94</v>
      </c>
      <c r="D38" s="48" t="s">
        <v>140</v>
      </c>
      <c r="E38" s="50" t="s">
        <v>132</v>
      </c>
    </row>
    <row r="39" spans="1:5">
      <c r="A39" s="89" t="s">
        <v>275</v>
      </c>
      <c r="B39" s="58" t="s">
        <v>314</v>
      </c>
      <c r="C39" s="53"/>
      <c r="D39" s="90" t="e">
        <f>VLOOKUP($B39,AIML_cost!$A:$F,4,0)</f>
        <v>#N/A</v>
      </c>
      <c r="E39" s="91" t="e">
        <f>VLOOKUP($B39,AIML_cost!$A:$F,6,0)</f>
        <v>#N/A</v>
      </c>
    </row>
    <row r="40" spans="1:5">
      <c r="A40" s="89" t="s">
        <v>277</v>
      </c>
      <c r="B40" s="58" t="s">
        <v>103</v>
      </c>
      <c r="C40" s="53"/>
      <c r="D40" s="90">
        <f>VLOOKUP($B40,AIML_cost!$A:$F,4,0)</f>
        <v>248</v>
      </c>
      <c r="E40" s="91">
        <f>VLOOKUP($B40,AIML_cost!$A:$F,6,0)</f>
        <v>7440</v>
      </c>
    </row>
    <row r="41" spans="1:5">
      <c r="A41" s="89" t="s">
        <v>279</v>
      </c>
      <c r="B41" s="58" t="s">
        <v>107</v>
      </c>
      <c r="C41" s="53"/>
      <c r="D41" s="90">
        <f>VLOOKUP($B41,AIML_cost!$A:$F,4,0)</f>
        <v>96</v>
      </c>
      <c r="E41" s="91">
        <f>VLOOKUP($B41,AIML_cost!$A:$F,6,0)</f>
        <v>2880</v>
      </c>
    </row>
    <row r="42" spans="1:5">
      <c r="A42" s="89" t="s">
        <v>281</v>
      </c>
      <c r="B42" s="58" t="s">
        <v>123</v>
      </c>
      <c r="C42" s="53"/>
      <c r="D42" s="90">
        <f>VLOOKUP($B42,AIML_cost!$A:$F,4,0)</f>
        <v>0</v>
      </c>
      <c r="E42" s="91">
        <f>VLOOKUP($B42,AIML_cost!$A:$F,6,0)</f>
        <v>0</v>
      </c>
    </row>
    <row r="43" spans="1:5">
      <c r="A43" s="89" t="s">
        <v>283</v>
      </c>
      <c r="B43" s="58" t="s">
        <v>128</v>
      </c>
      <c r="C43" s="53"/>
      <c r="D43" s="90">
        <f>VLOOKUP($B43,AIML_cost!$A:$F,4,0)</f>
        <v>100</v>
      </c>
      <c r="E43" s="91">
        <f>VLOOKUP($B43,AIML_cost!$A:$F,6,0)</f>
        <v>2500</v>
      </c>
    </row>
    <row r="44" spans="1:5">
      <c r="A44" s="47" t="s">
        <v>286</v>
      </c>
      <c r="B44" s="48" t="s">
        <v>157</v>
      </c>
      <c r="C44" s="92"/>
      <c r="D44" s="93" t="s">
        <v>45</v>
      </c>
      <c r="E44" s="50" t="s">
        <v>45</v>
      </c>
    </row>
    <row r="45" spans="1:5">
      <c r="A45" s="51" t="s">
        <v>287</v>
      </c>
      <c r="B45" s="10" t="s">
        <v>112</v>
      </c>
      <c r="C45" s="53"/>
      <c r="D45" s="90">
        <f>AIML_cost!D11+AIML_cost!D36</f>
        <v>0</v>
      </c>
      <c r="E45" s="91">
        <f>AIML_cost!F11+AIML_cost!F36</f>
        <v>1502</v>
      </c>
    </row>
    <row r="46" spans="1:5">
      <c r="A46" s="51" t="s">
        <v>288</v>
      </c>
      <c r="B46" s="6" t="s">
        <v>113</v>
      </c>
      <c r="C46" s="53"/>
      <c r="D46" s="90">
        <f>AIML_cost!D12+AIML_cost!D37</f>
        <v>0</v>
      </c>
      <c r="E46" s="91">
        <f>AIML_cost!F12+AIML_cost!F37</f>
        <v>0</v>
      </c>
    </row>
    <row r="47" spans="1:5">
      <c r="A47" s="47"/>
      <c r="B47" s="47" t="s">
        <v>315</v>
      </c>
      <c r="C47" s="47"/>
      <c r="D47" s="117" t="e">
        <f>VLOOKUP($B47,AIML_cost!$A:$F,4,0)</f>
        <v>#N/A</v>
      </c>
      <c r="E47" s="91" t="e">
        <f>VLOOKUP($B47,AIML_cost!$A:$F,6,0)</f>
        <v>#N/A</v>
      </c>
    </row>
    <row r="48" spans="1:5">
      <c r="A48" s="88" t="s">
        <v>286</v>
      </c>
      <c r="B48" s="49" t="s">
        <v>290</v>
      </c>
      <c r="C48" s="94" t="s">
        <v>45</v>
      </c>
      <c r="D48" s="48" t="s">
        <v>45</v>
      </c>
      <c r="E48" s="95" t="e">
        <f>E50+E54</f>
        <v>#N/A</v>
      </c>
    </row>
    <row r="49" spans="1:5">
      <c r="A49" s="89" t="s">
        <v>316</v>
      </c>
      <c r="B49" s="96" t="s">
        <v>317</v>
      </c>
      <c r="C49" s="97"/>
      <c r="D49" s="98"/>
      <c r="E49" s="91"/>
    </row>
    <row r="50" spans="1:5">
      <c r="A50" s="89"/>
      <c r="B50" s="99" t="s">
        <v>318</v>
      </c>
      <c r="C50" s="97"/>
      <c r="D50" s="98"/>
      <c r="E50" s="91" t="e">
        <f>VLOOKUP($B50,AIML_cost!$A:$F,6,0)</f>
        <v>#N/A</v>
      </c>
    </row>
    <row r="51" spans="1:5">
      <c r="A51" s="89" t="s">
        <v>319</v>
      </c>
      <c r="B51" s="101" t="s">
        <v>320</v>
      </c>
      <c r="C51" s="97"/>
      <c r="D51" s="98"/>
      <c r="E51" s="100"/>
    </row>
    <row r="52" spans="1:5" ht="28.5">
      <c r="A52" s="89"/>
      <c r="B52" s="102" t="s">
        <v>321</v>
      </c>
      <c r="C52" s="97"/>
      <c r="D52" s="98"/>
      <c r="E52" s="100">
        <f>AIML_cost!F46</f>
        <v>0.11</v>
      </c>
    </row>
    <row r="53" spans="1:5">
      <c r="A53" s="89"/>
      <c r="B53" s="103" t="s">
        <v>322</v>
      </c>
      <c r="C53" s="97"/>
      <c r="D53" s="98"/>
      <c r="E53" s="104">
        <f>AIML_cost!F47</f>
        <v>1000</v>
      </c>
    </row>
    <row r="54" spans="1:5">
      <c r="A54" s="89"/>
      <c r="B54" s="103" t="s">
        <v>323</v>
      </c>
      <c r="C54" s="97"/>
      <c r="D54" s="98"/>
      <c r="E54" s="100">
        <f>E53*E52</f>
        <v>110</v>
      </c>
    </row>
    <row r="55" spans="1:5" ht="14.65" thickBot="1">
      <c r="A55" s="105" t="s">
        <v>45</v>
      </c>
      <c r="B55" s="106" t="s">
        <v>162</v>
      </c>
      <c r="C55" s="67"/>
      <c r="D55" s="107" t="s">
        <v>45</v>
      </c>
      <c r="E55" s="69" t="e">
        <f>SUM(E39:E48)</f>
        <v>#N/A</v>
      </c>
    </row>
    <row r="56" spans="1:5">
      <c r="A56" s="108"/>
      <c r="B56" s="45"/>
      <c r="C56" s="44"/>
      <c r="D56" s="45"/>
      <c r="E56" s="109"/>
    </row>
    <row r="57" spans="1:5">
      <c r="A57" s="387" t="s">
        <v>324</v>
      </c>
      <c r="B57" s="388"/>
      <c r="C57" s="388"/>
      <c r="D57" s="388"/>
      <c r="E57" s="389"/>
    </row>
    <row r="58" spans="1:5">
      <c r="A58" s="88" t="s">
        <v>296</v>
      </c>
      <c r="B58" s="49" t="s">
        <v>297</v>
      </c>
      <c r="C58" s="48"/>
      <c r="D58" s="48" t="s">
        <v>298</v>
      </c>
      <c r="E58" s="50" t="s">
        <v>299</v>
      </c>
    </row>
    <row r="59" spans="1:5">
      <c r="A59" s="89" t="s">
        <v>325</v>
      </c>
      <c r="B59" s="110" t="s">
        <v>326</v>
      </c>
      <c r="C59" s="97"/>
      <c r="D59" s="90">
        <v>0.25</v>
      </c>
      <c r="E59" s="75">
        <f>AIML_cost!F55</f>
        <v>750</v>
      </c>
    </row>
    <row r="60" spans="1:5">
      <c r="A60" s="88" t="s">
        <v>286</v>
      </c>
      <c r="B60" s="49" t="s">
        <v>302</v>
      </c>
      <c r="C60" s="48"/>
      <c r="D60" s="48" t="s">
        <v>45</v>
      </c>
      <c r="E60" s="50" t="s">
        <v>45</v>
      </c>
    </row>
    <row r="61" spans="1:5">
      <c r="A61" s="89" t="s">
        <v>303</v>
      </c>
      <c r="B61" s="37" t="s">
        <v>327</v>
      </c>
      <c r="C61" s="97"/>
      <c r="D61" s="74"/>
      <c r="E61" s="75">
        <f>AIML_cost!F52</f>
        <v>0.11</v>
      </c>
    </row>
    <row r="62" spans="1:5">
      <c r="A62" s="89"/>
      <c r="B62" s="34" t="s">
        <v>328</v>
      </c>
      <c r="C62" s="97"/>
      <c r="D62" s="74"/>
      <c r="E62" s="75">
        <f>AIML_cost!F53</f>
        <v>1000</v>
      </c>
    </row>
    <row r="63" spans="1:5">
      <c r="A63" s="89"/>
      <c r="B63" s="34" t="s">
        <v>329</v>
      </c>
      <c r="C63" s="97"/>
      <c r="D63" s="74"/>
      <c r="E63" s="75">
        <f>E62*E61</f>
        <v>110</v>
      </c>
    </row>
    <row r="64" spans="1:5">
      <c r="A64" s="89"/>
      <c r="B64" s="28" t="s">
        <v>78</v>
      </c>
      <c r="C64" s="17" t="s">
        <v>68</v>
      </c>
      <c r="D64" s="74"/>
      <c r="E64" s="75">
        <v>200</v>
      </c>
    </row>
    <row r="65" spans="1:5">
      <c r="A65" s="89" t="s">
        <v>305</v>
      </c>
      <c r="B65" s="58"/>
      <c r="C65" s="97"/>
      <c r="D65" s="74"/>
      <c r="E65" s="111"/>
    </row>
    <row r="66" spans="1:5" ht="14.65" thickBot="1">
      <c r="A66" s="105" t="s">
        <v>45</v>
      </c>
      <c r="B66" s="106" t="s">
        <v>181</v>
      </c>
      <c r="C66" s="107" t="s">
        <v>45</v>
      </c>
      <c r="D66" s="107" t="s">
        <v>45</v>
      </c>
      <c r="E66" s="81">
        <f>SUM(E58:E64)</f>
        <v>2060.11</v>
      </c>
    </row>
  </sheetData>
  <mergeCells count="6">
    <mergeCell ref="A57:E57"/>
    <mergeCell ref="A1:E1"/>
    <mergeCell ref="A3:E3"/>
    <mergeCell ref="A20:E20"/>
    <mergeCell ref="A35:E35"/>
    <mergeCell ref="A37:E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66C9-F51D-4E44-9806-93519F40E4AA}">
  <dimension ref="A1:I20"/>
  <sheetViews>
    <sheetView zoomScale="130" zoomScaleNormal="130" workbookViewId="0">
      <selection activeCell="E18" sqref="E18:E19"/>
    </sheetView>
  </sheetViews>
  <sheetFormatPr defaultRowHeight="14.25"/>
  <cols>
    <col min="1" max="1" width="16.7109375" bestFit="1" customWidth="1"/>
    <col min="8" max="8" width="14.7109375" bestFit="1" customWidth="1"/>
  </cols>
  <sheetData>
    <row r="1" spans="1:9">
      <c r="B1" t="s">
        <v>330</v>
      </c>
      <c r="C1" t="s">
        <v>331</v>
      </c>
      <c r="D1" t="s">
        <v>332</v>
      </c>
      <c r="H1" t="s">
        <v>333</v>
      </c>
      <c r="I1" t="s">
        <v>334</v>
      </c>
    </row>
    <row r="2" spans="1:9">
      <c r="A2" t="s">
        <v>335</v>
      </c>
      <c r="B2" s="42">
        <v>25</v>
      </c>
      <c r="C2" s="42">
        <v>30</v>
      </c>
      <c r="D2" s="42">
        <v>25</v>
      </c>
      <c r="H2" t="s">
        <v>336</v>
      </c>
      <c r="I2" s="125">
        <v>0.1</v>
      </c>
    </row>
    <row r="3" spans="1:9">
      <c r="A3" t="s">
        <v>337</v>
      </c>
      <c r="C3" s="42">
        <v>22</v>
      </c>
      <c r="H3" t="s">
        <v>338</v>
      </c>
      <c r="I3" s="125">
        <v>0</v>
      </c>
    </row>
    <row r="4" spans="1:9">
      <c r="H4" t="s">
        <v>339</v>
      </c>
      <c r="I4" s="125">
        <v>0</v>
      </c>
    </row>
    <row r="5" spans="1:9">
      <c r="H5" t="s">
        <v>340</v>
      </c>
      <c r="I5" s="125">
        <v>0.1</v>
      </c>
    </row>
    <row r="6" spans="1:9">
      <c r="B6" t="s">
        <v>330</v>
      </c>
      <c r="C6" t="s">
        <v>331</v>
      </c>
    </row>
    <row r="7" spans="1:9" ht="28.5">
      <c r="A7" s="10" t="s">
        <v>112</v>
      </c>
      <c r="B7">
        <v>0</v>
      </c>
      <c r="C7">
        <v>0</v>
      </c>
    </row>
    <row r="8" spans="1:9">
      <c r="A8" s="6" t="s">
        <v>113</v>
      </c>
      <c r="B8">
        <v>0</v>
      </c>
      <c r="C8">
        <v>0</v>
      </c>
    </row>
    <row r="9" spans="1:9">
      <c r="A9" t="s">
        <v>341</v>
      </c>
      <c r="B9">
        <v>0.2</v>
      </c>
      <c r="C9">
        <v>0.2</v>
      </c>
    </row>
    <row r="10" spans="1:9">
      <c r="A10" t="s">
        <v>342</v>
      </c>
      <c r="B10">
        <v>0.25</v>
      </c>
      <c r="C10">
        <v>0.25</v>
      </c>
    </row>
    <row r="11" spans="1:9">
      <c r="A11" t="s">
        <v>343</v>
      </c>
      <c r="B11">
        <v>0.2</v>
      </c>
      <c r="C11">
        <v>0.2</v>
      </c>
    </row>
    <row r="13" spans="1:9">
      <c r="A13" t="s">
        <v>114</v>
      </c>
      <c r="B13">
        <v>0</v>
      </c>
      <c r="C13">
        <v>0</v>
      </c>
    </row>
    <row r="17" spans="1:5" ht="14.25" customHeight="1">
      <c r="A17" s="405" t="s">
        <v>344</v>
      </c>
      <c r="B17" s="405"/>
      <c r="C17" s="405"/>
      <c r="D17" s="405"/>
    </row>
    <row r="18" spans="1:5">
      <c r="B18" t="s">
        <v>330</v>
      </c>
      <c r="C18" t="s">
        <v>331</v>
      </c>
      <c r="D18" t="s">
        <v>332</v>
      </c>
      <c r="E18" t="s">
        <v>345</v>
      </c>
    </row>
    <row r="19" spans="1:5">
      <c r="A19" t="s">
        <v>335</v>
      </c>
      <c r="B19" s="42">
        <v>22</v>
      </c>
      <c r="C19" s="42">
        <v>22</v>
      </c>
      <c r="D19" s="42">
        <v>22</v>
      </c>
      <c r="E19">
        <v>30</v>
      </c>
    </row>
    <row r="20" spans="1:5">
      <c r="C20" s="42"/>
    </row>
  </sheetData>
  <mergeCells count="1">
    <mergeCell ref="A17:D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4FFA-DA16-4C05-86D2-98E54FD3E5DF}">
  <dimension ref="A1:B7"/>
  <sheetViews>
    <sheetView zoomScale="160" zoomScaleNormal="160" workbookViewId="0">
      <selection activeCell="A7" sqref="A7"/>
    </sheetView>
  </sheetViews>
  <sheetFormatPr defaultRowHeight="14.25"/>
  <cols>
    <col min="1" max="1" width="25.140625" bestFit="1" customWidth="1"/>
    <col min="2" max="2" width="11" bestFit="1" customWidth="1"/>
  </cols>
  <sheetData>
    <row r="1" spans="1:2">
      <c r="A1" t="s">
        <v>346</v>
      </c>
      <c r="B1" s="42">
        <f>AIML_cost!F40</f>
        <v>18024</v>
      </c>
    </row>
    <row r="2" spans="1:2">
      <c r="A2" t="s">
        <v>347</v>
      </c>
      <c r="B2" s="42">
        <f>AIML_cost!F43</f>
        <v>280</v>
      </c>
    </row>
    <row r="3" spans="1:2">
      <c r="A3" t="s">
        <v>348</v>
      </c>
      <c r="B3" s="42">
        <f>AIML_cost!F58</f>
        <v>1030</v>
      </c>
    </row>
    <row r="4" spans="1:2">
      <c r="A4" t="s">
        <v>349</v>
      </c>
      <c r="B4" s="42">
        <f>B3*12</f>
        <v>12360</v>
      </c>
    </row>
    <row r="5" spans="1:2">
      <c r="A5" t="s">
        <v>350</v>
      </c>
      <c r="B5" s="42">
        <f>SUM(B1,B2,B4)</f>
        <v>30664</v>
      </c>
    </row>
    <row r="6" spans="1:2">
      <c r="A6" t="s">
        <v>351</v>
      </c>
      <c r="B6">
        <f>40*25*12</f>
        <v>12000</v>
      </c>
    </row>
    <row r="7" spans="1:2">
      <c r="A7" t="s">
        <v>352</v>
      </c>
      <c r="B7" s="42">
        <f>(B1+B2)/B6</f>
        <v>1.5253333333333334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9860-6D47-498D-8D2B-381BA08FAB10}">
  <dimension ref="A1:CI46"/>
  <sheetViews>
    <sheetView workbookViewId="0">
      <selection sqref="A1:XFD1048576"/>
    </sheetView>
  </sheetViews>
  <sheetFormatPr defaultColWidth="8.85546875" defaultRowHeight="15" customHeight="1"/>
  <cols>
    <col min="1" max="1" width="3.42578125" customWidth="1"/>
    <col min="2" max="2" width="8.7109375" bestFit="1" customWidth="1"/>
    <col min="3" max="3" width="40.7109375" bestFit="1" customWidth="1"/>
    <col min="4" max="4" width="8.7109375" style="169" bestFit="1" customWidth="1"/>
    <col min="5" max="5" width="10.7109375" style="169" customWidth="1"/>
    <col min="6" max="7" width="10.42578125" customWidth="1"/>
    <col min="8" max="87" width="3.42578125" customWidth="1"/>
  </cols>
  <sheetData>
    <row r="1" spans="1:87" ht="14.25" customHeight="1"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405"/>
      <c r="S1" s="405"/>
      <c r="T1" s="405"/>
      <c r="U1" s="405"/>
      <c r="V1" s="405"/>
      <c r="W1" s="405"/>
      <c r="X1" s="405"/>
      <c r="Y1" s="405"/>
      <c r="Z1" s="405"/>
      <c r="AA1" s="405"/>
      <c r="AB1" s="405"/>
      <c r="AC1" s="405"/>
      <c r="AD1" s="405"/>
      <c r="AE1" s="405"/>
      <c r="AF1" s="405"/>
      <c r="AG1" s="405"/>
      <c r="AH1" s="405"/>
      <c r="AI1" s="405"/>
      <c r="AJ1" s="405"/>
      <c r="AK1" s="405"/>
      <c r="AL1" s="405"/>
      <c r="AM1" s="405"/>
      <c r="AN1" s="405"/>
      <c r="AO1" s="405"/>
      <c r="AP1" s="405"/>
      <c r="AQ1" s="405"/>
      <c r="AR1" s="405"/>
      <c r="AS1" s="405"/>
      <c r="AT1" s="405"/>
      <c r="AU1" s="405"/>
      <c r="AV1" s="405"/>
      <c r="AW1" s="405"/>
      <c r="AX1" s="405"/>
      <c r="AY1" s="405"/>
      <c r="AZ1" s="405"/>
      <c r="BA1" s="405"/>
      <c r="BB1" s="405"/>
      <c r="BC1" s="405"/>
      <c r="BD1" s="405"/>
      <c r="BE1" s="405"/>
      <c r="BF1" s="405"/>
      <c r="BG1" s="405"/>
      <c r="BH1" s="405"/>
      <c r="BI1" s="405"/>
      <c r="BJ1" s="405"/>
      <c r="BK1" s="405"/>
      <c r="BL1" s="405"/>
      <c r="BM1" s="405"/>
      <c r="BN1" s="405"/>
      <c r="BO1" s="405"/>
      <c r="BP1" s="405"/>
      <c r="BQ1" s="405"/>
      <c r="BR1" s="405"/>
      <c r="BS1" s="405"/>
      <c r="BT1" s="405"/>
      <c r="BU1" s="405"/>
      <c r="BV1" s="405"/>
      <c r="BW1" s="405"/>
      <c r="BX1" s="405"/>
    </row>
    <row r="2" spans="1:87" ht="15.75">
      <c r="B2" s="314"/>
      <c r="C2" s="315"/>
      <c r="H2" s="409"/>
      <c r="I2" s="410"/>
      <c r="J2" s="410"/>
      <c r="K2" s="410"/>
      <c r="L2" s="410"/>
      <c r="M2" s="410"/>
      <c r="N2" s="410"/>
      <c r="O2" s="410"/>
      <c r="P2" s="410"/>
      <c r="Q2" s="410"/>
      <c r="R2" s="410"/>
      <c r="S2" s="410"/>
      <c r="T2" s="410"/>
      <c r="U2" s="410"/>
      <c r="V2" s="410"/>
      <c r="W2" s="410"/>
      <c r="X2" s="410"/>
      <c r="Y2" s="410"/>
      <c r="Z2" s="410"/>
      <c r="AA2" s="410"/>
      <c r="AB2" s="410"/>
      <c r="AC2" s="410"/>
      <c r="AD2" s="410"/>
      <c r="AE2" s="410"/>
      <c r="AF2" s="410"/>
      <c r="AG2" s="410"/>
      <c r="AH2" s="410"/>
      <c r="AI2" s="410"/>
      <c r="AJ2" s="410"/>
      <c r="AK2" s="410"/>
      <c r="AL2" s="410"/>
      <c r="AM2" s="410"/>
      <c r="AN2" s="410"/>
      <c r="AO2" s="410"/>
      <c r="AP2" s="410"/>
      <c r="AQ2" s="410"/>
      <c r="AR2" s="410"/>
      <c r="AS2" s="410"/>
      <c r="AT2" s="410"/>
      <c r="AU2" s="410"/>
      <c r="AV2" s="410"/>
      <c r="AW2" s="410"/>
      <c r="AX2" s="410"/>
      <c r="AY2" s="410"/>
      <c r="AZ2" s="410"/>
      <c r="BA2" s="410"/>
      <c r="BB2" s="410"/>
      <c r="BC2" s="410"/>
      <c r="BD2" s="410"/>
      <c r="BE2" s="410"/>
      <c r="BF2" s="410"/>
      <c r="BG2" s="410"/>
      <c r="BH2" s="410"/>
      <c r="BI2" s="410"/>
      <c r="BJ2" s="410"/>
      <c r="BK2" s="410"/>
      <c r="BL2" s="410"/>
      <c r="BM2" s="410"/>
      <c r="BN2" s="410"/>
      <c r="BO2" s="410"/>
      <c r="BP2" s="410"/>
      <c r="BQ2" s="410"/>
      <c r="BR2" s="410"/>
      <c r="BS2" s="410"/>
      <c r="BT2" s="410"/>
      <c r="BU2" s="410"/>
      <c r="BV2" s="410"/>
      <c r="BW2" s="410"/>
      <c r="BX2" s="410"/>
      <c r="BY2" s="411"/>
      <c r="BZ2" s="315"/>
      <c r="CA2" s="315"/>
      <c r="CB2" s="315"/>
      <c r="CC2" s="315"/>
      <c r="CD2" s="315"/>
      <c r="CE2" s="315"/>
      <c r="CF2" s="315"/>
      <c r="CG2" s="315"/>
      <c r="CH2" s="315"/>
      <c r="CI2" s="315"/>
    </row>
    <row r="3" spans="1:87" ht="38.450000000000003" hidden="1" customHeight="1">
      <c r="B3" s="315"/>
      <c r="C3" s="315"/>
      <c r="H3" s="409" t="s">
        <v>353</v>
      </c>
      <c r="I3" s="410"/>
      <c r="J3" s="410"/>
      <c r="K3" s="410"/>
      <c r="L3" s="410"/>
      <c r="M3" s="410"/>
      <c r="N3" s="410"/>
      <c r="O3" s="410"/>
      <c r="P3" s="410"/>
      <c r="Q3" s="411"/>
      <c r="R3" s="409" t="s">
        <v>354</v>
      </c>
      <c r="S3" s="410"/>
      <c r="T3" s="410"/>
      <c r="U3" s="410"/>
      <c r="V3" s="410"/>
      <c r="W3" s="410"/>
      <c r="X3" s="410"/>
      <c r="Y3" s="410"/>
      <c r="Z3" s="410"/>
      <c r="AA3" s="411"/>
      <c r="AB3" s="409" t="s">
        <v>355</v>
      </c>
      <c r="AC3" s="410"/>
      <c r="AD3" s="410"/>
      <c r="AE3" s="410"/>
      <c r="AF3" s="410"/>
      <c r="AG3" s="410"/>
      <c r="AH3" s="410"/>
      <c r="AI3" s="410"/>
      <c r="AJ3" s="410"/>
      <c r="AK3" s="411"/>
      <c r="AL3" s="409" t="s">
        <v>356</v>
      </c>
      <c r="AM3" s="410"/>
      <c r="AN3" s="410"/>
      <c r="AO3" s="410"/>
      <c r="AP3" s="411"/>
      <c r="AQ3" s="409" t="s">
        <v>357</v>
      </c>
      <c r="AR3" s="410"/>
      <c r="AS3" s="410"/>
      <c r="AT3" s="410"/>
      <c r="AU3" s="410"/>
      <c r="AV3" s="410"/>
      <c r="AW3" s="410"/>
      <c r="AX3" s="410"/>
      <c r="AY3" s="410"/>
      <c r="AZ3" s="411"/>
      <c r="BA3" s="409" t="s">
        <v>358</v>
      </c>
      <c r="BB3" s="410"/>
      <c r="BC3" s="410"/>
      <c r="BD3" s="410"/>
      <c r="BE3" s="410"/>
      <c r="BF3" s="410"/>
      <c r="BG3" s="410"/>
      <c r="BH3" s="410"/>
      <c r="BI3" s="410"/>
      <c r="BJ3" s="411"/>
      <c r="BK3" s="409" t="s">
        <v>359</v>
      </c>
      <c r="BL3" s="410"/>
      <c r="BM3" s="410"/>
      <c r="BN3" s="410"/>
      <c r="BO3" s="410"/>
      <c r="BP3" s="410"/>
      <c r="BQ3" s="410"/>
      <c r="BR3" s="410"/>
      <c r="BS3" s="410"/>
      <c r="BT3" s="411"/>
      <c r="BU3" s="413" t="s">
        <v>360</v>
      </c>
      <c r="BV3" s="414"/>
      <c r="BW3" s="414"/>
      <c r="BX3" s="414"/>
      <c r="BY3" s="415"/>
      <c r="BZ3" s="412" t="s">
        <v>361</v>
      </c>
      <c r="CA3" s="412"/>
      <c r="CB3" s="412"/>
      <c r="CC3" s="412"/>
      <c r="CD3" s="412"/>
      <c r="CE3" s="412"/>
      <c r="CF3" s="412"/>
      <c r="CG3" s="412"/>
      <c r="CH3" s="412"/>
      <c r="CI3" s="412"/>
    </row>
    <row r="4" spans="1:87" s="321" customFormat="1" ht="42.75" customHeight="1">
      <c r="A4" s="317"/>
      <c r="B4" s="318" t="s">
        <v>362</v>
      </c>
      <c r="C4" s="318" t="s">
        <v>363</v>
      </c>
      <c r="D4" s="319" t="s">
        <v>364</v>
      </c>
      <c r="E4" s="319" t="s">
        <v>365</v>
      </c>
      <c r="F4" s="318" t="s">
        <v>366</v>
      </c>
      <c r="G4" s="320" t="s">
        <v>367</v>
      </c>
      <c r="H4" s="409" t="s">
        <v>368</v>
      </c>
      <c r="I4" s="410"/>
      <c r="J4" s="410"/>
      <c r="K4" s="410"/>
      <c r="L4" s="411"/>
      <c r="M4" s="409" t="s">
        <v>369</v>
      </c>
      <c r="N4" s="410"/>
      <c r="O4" s="410"/>
      <c r="P4" s="410"/>
      <c r="Q4" s="411"/>
      <c r="R4" s="409" t="s">
        <v>370</v>
      </c>
      <c r="S4" s="410"/>
      <c r="T4" s="410"/>
      <c r="U4" s="410"/>
      <c r="V4" s="411"/>
      <c r="W4" s="409" t="s">
        <v>371</v>
      </c>
      <c r="X4" s="410"/>
      <c r="Y4" s="410"/>
      <c r="Z4" s="410"/>
      <c r="AA4" s="411"/>
      <c r="AB4" s="409" t="s">
        <v>372</v>
      </c>
      <c r="AC4" s="410"/>
      <c r="AD4" s="410"/>
      <c r="AE4" s="410"/>
      <c r="AF4" s="411"/>
      <c r="AG4" s="409" t="s">
        <v>373</v>
      </c>
      <c r="AH4" s="410"/>
      <c r="AI4" s="410"/>
      <c r="AJ4" s="410"/>
      <c r="AK4" s="411"/>
      <c r="AL4" s="409" t="s">
        <v>374</v>
      </c>
      <c r="AM4" s="410"/>
      <c r="AN4" s="410"/>
      <c r="AO4" s="410"/>
      <c r="AP4" s="411"/>
      <c r="AQ4" s="409" t="s">
        <v>375</v>
      </c>
      <c r="AR4" s="410"/>
      <c r="AS4" s="410"/>
      <c r="AT4" s="410"/>
      <c r="AU4" s="411"/>
      <c r="AV4" s="409" t="s">
        <v>376</v>
      </c>
      <c r="AW4" s="410"/>
      <c r="AX4" s="410"/>
      <c r="AY4" s="410"/>
      <c r="AZ4" s="411"/>
      <c r="BA4" s="409" t="s">
        <v>377</v>
      </c>
      <c r="BB4" s="410"/>
      <c r="BC4" s="410"/>
      <c r="BD4" s="410"/>
      <c r="BE4" s="411"/>
      <c r="BF4" s="409" t="s">
        <v>378</v>
      </c>
      <c r="BG4" s="410"/>
      <c r="BH4" s="410"/>
      <c r="BI4" s="410"/>
      <c r="BJ4" s="411"/>
      <c r="BK4" s="409" t="s">
        <v>379</v>
      </c>
      <c r="BL4" s="410"/>
      <c r="BM4" s="410"/>
      <c r="BN4" s="410"/>
      <c r="BO4" s="411"/>
      <c r="BP4" s="409" t="s">
        <v>380</v>
      </c>
      <c r="BQ4" s="410"/>
      <c r="BR4" s="410"/>
      <c r="BS4" s="410"/>
      <c r="BT4" s="411"/>
      <c r="BU4" s="409" t="s">
        <v>381</v>
      </c>
      <c r="BV4" s="410"/>
      <c r="BW4" s="410"/>
      <c r="BX4" s="410"/>
      <c r="BY4" s="411"/>
      <c r="BZ4" s="412" t="s">
        <v>382</v>
      </c>
      <c r="CA4" s="412"/>
      <c r="CB4" s="412"/>
      <c r="CC4" s="412"/>
      <c r="CD4" s="412"/>
      <c r="CE4" s="412" t="s">
        <v>383</v>
      </c>
      <c r="CF4" s="412"/>
      <c r="CG4" s="412"/>
      <c r="CH4" s="412"/>
      <c r="CI4" s="412"/>
    </row>
    <row r="5" spans="1:87" ht="14.25" customHeight="1">
      <c r="A5" s="322"/>
      <c r="B5" s="315" t="s">
        <v>384</v>
      </c>
      <c r="C5" s="315" t="s">
        <v>385</v>
      </c>
      <c r="D5" s="316">
        <v>1</v>
      </c>
      <c r="E5" s="323"/>
      <c r="F5" s="324"/>
      <c r="G5" s="324"/>
      <c r="H5" s="325"/>
      <c r="I5" s="325"/>
      <c r="J5" s="325"/>
      <c r="K5" s="325"/>
      <c r="L5" s="325"/>
      <c r="M5" s="325"/>
      <c r="N5" s="325"/>
      <c r="O5" s="325"/>
      <c r="P5" s="325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  <c r="AK5" s="326"/>
      <c r="AL5" s="326"/>
      <c r="AM5" s="326"/>
      <c r="AN5" s="326"/>
      <c r="AO5" s="326"/>
      <c r="AP5" s="326"/>
      <c r="AQ5" s="326"/>
      <c r="AR5" s="326"/>
      <c r="AS5" s="326"/>
      <c r="AT5" s="326"/>
      <c r="AU5" s="326"/>
      <c r="AV5" s="326"/>
      <c r="AW5" s="326"/>
      <c r="AX5" s="326"/>
      <c r="AY5" s="327"/>
      <c r="AZ5" s="326"/>
      <c r="BA5" s="326"/>
      <c r="BB5" s="326"/>
      <c r="BC5" s="326"/>
      <c r="BD5" s="326"/>
      <c r="BE5" s="326"/>
      <c r="BF5" s="326"/>
      <c r="BG5" s="326"/>
      <c r="BH5" s="326"/>
      <c r="BI5" s="326"/>
      <c r="BJ5" s="326"/>
      <c r="BK5" s="326"/>
      <c r="BL5" s="326"/>
      <c r="BM5" s="326"/>
      <c r="BN5" s="326"/>
      <c r="BO5" s="326"/>
      <c r="BP5" s="326"/>
      <c r="BQ5" s="326"/>
      <c r="BR5" s="326"/>
      <c r="BS5" s="326"/>
      <c r="BT5" s="326"/>
      <c r="BU5" s="326"/>
      <c r="BV5" s="326"/>
      <c r="BW5" s="326"/>
      <c r="BX5" s="326"/>
      <c r="BY5" s="326"/>
      <c r="BZ5" s="326"/>
      <c r="CA5" s="326"/>
      <c r="CB5" s="326"/>
      <c r="CC5" s="326"/>
      <c r="CD5" s="326"/>
      <c r="CE5" s="326"/>
      <c r="CF5" s="326"/>
      <c r="CG5" s="326"/>
      <c r="CH5" s="326"/>
      <c r="CI5" s="326"/>
    </row>
    <row r="6" spans="1:87">
      <c r="A6" s="322"/>
      <c r="B6" s="315"/>
      <c r="C6" s="315" t="s">
        <v>386</v>
      </c>
      <c r="D6" s="316">
        <v>1</v>
      </c>
      <c r="E6" s="323"/>
      <c r="F6" s="324"/>
      <c r="G6" s="324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25"/>
      <c r="AU6" s="325"/>
      <c r="AV6" s="325"/>
      <c r="AW6" s="325"/>
      <c r="AX6" s="325"/>
      <c r="AY6" s="325"/>
      <c r="AZ6" s="325"/>
      <c r="BA6" s="325"/>
      <c r="BB6" s="325"/>
      <c r="BC6" s="325"/>
      <c r="BD6" s="325"/>
      <c r="BE6" s="325"/>
      <c r="BF6" s="325"/>
      <c r="BG6" s="325"/>
      <c r="BH6" s="325"/>
      <c r="BI6" s="325"/>
      <c r="BJ6" s="325"/>
      <c r="BK6" s="325"/>
      <c r="BL6" s="325"/>
      <c r="BM6" s="325"/>
      <c r="BN6" s="325"/>
      <c r="BO6" s="325"/>
      <c r="BP6" s="325"/>
      <c r="BQ6" s="325"/>
      <c r="BR6" s="325"/>
      <c r="BS6" s="325"/>
      <c r="BT6" s="325"/>
      <c r="BU6" s="325"/>
      <c r="BV6" s="325"/>
      <c r="BW6" s="325"/>
      <c r="BX6" s="326"/>
      <c r="BY6" s="326"/>
      <c r="BZ6" s="326"/>
      <c r="CA6" s="326"/>
      <c r="CB6" s="326"/>
      <c r="CC6" s="326"/>
      <c r="CD6" s="326"/>
      <c r="CE6" s="326"/>
      <c r="CF6" s="326"/>
      <c r="CG6" s="326"/>
      <c r="CH6" s="326"/>
      <c r="CI6" s="326"/>
    </row>
    <row r="7" spans="1:87" ht="14.25">
      <c r="A7" s="322"/>
      <c r="B7" s="315"/>
      <c r="C7" s="315" t="s">
        <v>387</v>
      </c>
      <c r="D7" s="316">
        <v>1</v>
      </c>
      <c r="E7" s="323"/>
      <c r="F7" s="324"/>
      <c r="G7" s="324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6"/>
      <c r="W7" s="326"/>
      <c r="X7" s="326"/>
      <c r="Y7" s="326"/>
      <c r="Z7" s="326"/>
      <c r="AA7" s="326"/>
      <c r="AB7" s="326"/>
      <c r="AC7" s="326"/>
      <c r="AD7" s="326"/>
      <c r="AE7" s="326"/>
      <c r="AF7" s="326"/>
      <c r="AG7" s="326"/>
      <c r="AH7" s="326"/>
      <c r="AI7" s="326"/>
      <c r="AJ7" s="326"/>
      <c r="AK7" s="326"/>
      <c r="AL7" s="326"/>
      <c r="AM7" s="326"/>
      <c r="AN7" s="326"/>
      <c r="AO7" s="326"/>
      <c r="AP7" s="326"/>
      <c r="AQ7" s="326"/>
      <c r="AR7" s="326"/>
      <c r="AS7" s="326"/>
      <c r="AT7" s="326"/>
      <c r="AU7" s="326"/>
      <c r="AV7" s="326"/>
      <c r="AW7" s="326"/>
      <c r="AX7" s="326"/>
      <c r="AY7" s="327"/>
      <c r="AZ7" s="326"/>
      <c r="BA7" s="326"/>
      <c r="BB7" s="326"/>
      <c r="BC7" s="326"/>
      <c r="BD7" s="326"/>
      <c r="BE7" s="326"/>
      <c r="BF7" s="326"/>
      <c r="BG7" s="326"/>
      <c r="BH7" s="326"/>
      <c r="BI7" s="326"/>
      <c r="BJ7" s="326"/>
      <c r="BK7" s="326"/>
      <c r="BL7" s="326"/>
      <c r="BM7" s="326"/>
      <c r="BN7" s="326"/>
      <c r="BO7" s="326"/>
      <c r="BP7" s="326"/>
      <c r="BQ7" s="326"/>
      <c r="BR7" s="326"/>
      <c r="BS7" s="326"/>
      <c r="BT7" s="326"/>
      <c r="BU7" s="326"/>
      <c r="BV7" s="326"/>
      <c r="BW7" s="326"/>
      <c r="BX7" s="326"/>
      <c r="BY7" s="326"/>
      <c r="BZ7" s="326"/>
      <c r="CA7" s="326"/>
      <c r="CB7" s="326"/>
      <c r="CC7" s="326"/>
      <c r="CD7" s="326"/>
      <c r="CE7" s="326"/>
      <c r="CF7" s="326"/>
      <c r="CG7" s="326"/>
      <c r="CH7" s="326"/>
      <c r="CI7" s="326"/>
    </row>
    <row r="8" spans="1:87" ht="14.25">
      <c r="A8" s="322"/>
      <c r="B8" s="315"/>
      <c r="C8" s="315" t="s">
        <v>388</v>
      </c>
      <c r="D8" s="316">
        <v>1</v>
      </c>
      <c r="E8" s="323"/>
      <c r="F8" s="324"/>
      <c r="G8" s="324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  <c r="AA8" s="329"/>
      <c r="AB8" s="329"/>
      <c r="AC8" s="329"/>
      <c r="AD8" s="329"/>
      <c r="AE8" s="329"/>
      <c r="AF8" s="329"/>
      <c r="AG8" s="329"/>
      <c r="AH8" s="329"/>
      <c r="AI8" s="329"/>
      <c r="AJ8" s="329"/>
      <c r="AK8" s="329"/>
      <c r="AL8" s="329"/>
      <c r="AM8" s="329"/>
      <c r="AN8" s="329"/>
      <c r="AO8" s="329"/>
      <c r="AP8" s="329"/>
      <c r="AQ8" s="329"/>
      <c r="AR8" s="329"/>
      <c r="AS8" s="329"/>
      <c r="AT8" s="329"/>
      <c r="AU8" s="329"/>
      <c r="AV8" s="329"/>
      <c r="AW8" s="329"/>
      <c r="AX8" s="329"/>
      <c r="AY8" s="330"/>
      <c r="AZ8" s="329"/>
      <c r="BA8" s="329"/>
      <c r="BB8" s="329"/>
      <c r="BC8" s="329"/>
      <c r="BD8" s="329"/>
      <c r="BE8" s="329"/>
      <c r="BF8" s="329"/>
      <c r="BG8" s="329"/>
      <c r="BH8" s="329"/>
      <c r="BI8" s="329"/>
      <c r="BJ8" s="329"/>
      <c r="BK8" s="329"/>
      <c r="BL8" s="329"/>
      <c r="BM8" s="329"/>
      <c r="BN8" s="329"/>
      <c r="BO8" s="329"/>
      <c r="BP8" s="329"/>
      <c r="BQ8" s="329"/>
      <c r="BR8" s="329"/>
      <c r="BS8" s="329"/>
      <c r="BT8" s="329"/>
      <c r="BU8" s="329"/>
      <c r="BV8" s="329"/>
      <c r="BW8" s="329"/>
      <c r="BX8" s="329"/>
      <c r="BY8" s="329"/>
      <c r="BZ8" s="326"/>
      <c r="CA8" s="326"/>
      <c r="CB8" s="326"/>
      <c r="CC8" s="326"/>
      <c r="CD8" s="326"/>
      <c r="CE8" s="326"/>
      <c r="CF8" s="326"/>
      <c r="CG8" s="326"/>
      <c r="CH8" s="326"/>
      <c r="CI8" s="326"/>
    </row>
    <row r="9" spans="1:87" ht="14.25">
      <c r="B9" s="316" t="s">
        <v>102</v>
      </c>
      <c r="C9" s="315" t="s">
        <v>389</v>
      </c>
      <c r="D9" s="316">
        <v>1</v>
      </c>
      <c r="E9" s="316"/>
      <c r="F9" s="324"/>
      <c r="G9" s="324"/>
      <c r="H9" s="326"/>
      <c r="I9" s="326"/>
      <c r="J9" s="326"/>
      <c r="K9" s="326"/>
      <c r="L9" s="326"/>
      <c r="M9" s="326"/>
      <c r="N9" s="326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  <c r="Z9" s="326"/>
      <c r="AA9" s="326"/>
      <c r="AB9" s="326"/>
      <c r="AC9" s="326"/>
      <c r="AD9" s="326"/>
      <c r="AE9" s="326"/>
      <c r="AF9" s="326"/>
      <c r="AG9" s="326"/>
      <c r="AH9" s="326"/>
      <c r="AI9" s="326"/>
      <c r="AJ9" s="326"/>
      <c r="AK9" s="326"/>
      <c r="AL9" s="326"/>
      <c r="AM9" s="326"/>
      <c r="AN9" s="326"/>
      <c r="AO9" s="326"/>
      <c r="AP9" s="326"/>
      <c r="AQ9" s="326"/>
      <c r="AR9" s="326"/>
      <c r="AS9" s="326"/>
      <c r="AT9" s="326"/>
      <c r="AU9" s="326"/>
      <c r="AV9" s="326"/>
      <c r="AW9" s="326"/>
      <c r="AX9" s="326"/>
      <c r="AY9" s="327"/>
      <c r="AZ9" s="326"/>
      <c r="BA9" s="326"/>
      <c r="BB9" s="326"/>
      <c r="BC9" s="326"/>
      <c r="BD9" s="326"/>
      <c r="BE9" s="326"/>
      <c r="BF9" s="326"/>
      <c r="BG9" s="326"/>
      <c r="BH9" s="326"/>
      <c r="BI9" s="326"/>
      <c r="BJ9" s="326"/>
      <c r="BK9" s="326"/>
      <c r="BL9" s="326"/>
      <c r="BM9" s="326"/>
      <c r="BN9" s="326"/>
      <c r="BO9" s="326"/>
      <c r="BP9" s="326"/>
      <c r="BQ9" s="326"/>
      <c r="BR9" s="326"/>
      <c r="BS9" s="326"/>
      <c r="BT9" s="326"/>
      <c r="BU9" s="326"/>
      <c r="BV9" s="326"/>
      <c r="BW9" s="326"/>
      <c r="BX9" s="326"/>
      <c r="BY9" s="326"/>
      <c r="BZ9" s="326"/>
      <c r="CA9" s="326"/>
      <c r="CB9" s="326"/>
      <c r="CC9" s="326"/>
      <c r="CD9" s="326"/>
      <c r="CE9" s="326"/>
      <c r="CF9" s="326"/>
      <c r="CG9" s="326"/>
      <c r="CH9" s="326"/>
      <c r="CI9" s="326"/>
    </row>
    <row r="10" spans="1:87" ht="14.25">
      <c r="B10" s="316"/>
      <c r="C10" s="315" t="s">
        <v>390</v>
      </c>
      <c r="D10" s="316">
        <v>1</v>
      </c>
      <c r="E10" s="316"/>
      <c r="F10" s="324"/>
      <c r="G10" s="324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326"/>
      <c r="AQ10" s="326"/>
      <c r="AR10" s="326"/>
      <c r="AS10" s="326"/>
      <c r="AT10" s="326"/>
      <c r="AU10" s="326"/>
      <c r="AV10" s="326"/>
      <c r="AW10" s="326"/>
      <c r="AX10" s="326"/>
      <c r="AY10" s="327"/>
      <c r="AZ10" s="326"/>
      <c r="BA10" s="326"/>
      <c r="BB10" s="326"/>
      <c r="BC10" s="326"/>
      <c r="BD10" s="326"/>
      <c r="BE10" s="326"/>
      <c r="BF10" s="326"/>
      <c r="BG10" s="326"/>
      <c r="BH10" s="326"/>
      <c r="BI10" s="326"/>
      <c r="BJ10" s="326"/>
      <c r="BK10" s="326"/>
      <c r="BL10" s="326"/>
      <c r="BM10" s="326"/>
      <c r="BN10" s="326"/>
      <c r="BO10" s="326"/>
      <c r="BP10" s="326"/>
      <c r="BQ10" s="326"/>
      <c r="BR10" s="326"/>
      <c r="BS10" s="326"/>
      <c r="BT10" s="326"/>
      <c r="BU10" s="326"/>
      <c r="BV10" s="326"/>
      <c r="BW10" s="326"/>
      <c r="BX10" s="326"/>
      <c r="BY10" s="326"/>
      <c r="BZ10" s="326"/>
      <c r="CA10" s="326"/>
      <c r="CB10" s="326"/>
      <c r="CC10" s="326"/>
      <c r="CD10" s="326"/>
      <c r="CE10" s="326"/>
      <c r="CF10" s="326"/>
      <c r="CG10" s="326"/>
      <c r="CH10" s="326"/>
      <c r="CI10" s="326"/>
    </row>
    <row r="11" spans="1:87" ht="14.25">
      <c r="A11" s="331"/>
      <c r="B11" s="316"/>
      <c r="C11" s="315" t="s">
        <v>391</v>
      </c>
      <c r="D11" s="316">
        <v>1</v>
      </c>
      <c r="E11" s="323">
        <f>SUM(AIML_cost!$D$4,AIML_cost!$D$14,AIML_cost!$D$24)/2</f>
        <v>216</v>
      </c>
      <c r="F11" s="324">
        <f>E11/7</f>
        <v>30.857142857142858</v>
      </c>
      <c r="G11" s="324">
        <f>F11/5</f>
        <v>6.1714285714285717</v>
      </c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  <c r="Y11" s="326"/>
      <c r="Z11" s="326"/>
      <c r="AA11" s="326"/>
      <c r="AB11" s="326"/>
      <c r="AC11" s="326"/>
      <c r="AD11" s="326"/>
      <c r="AE11" s="326"/>
      <c r="AF11" s="326"/>
      <c r="AG11" s="326"/>
      <c r="AH11" s="326"/>
      <c r="AI11" s="326"/>
      <c r="AJ11" s="326"/>
      <c r="AK11" s="326"/>
      <c r="AL11" s="326"/>
      <c r="AM11" s="326"/>
      <c r="AN11" s="326"/>
      <c r="AO11" s="326"/>
      <c r="AP11" s="326"/>
      <c r="AQ11" s="326"/>
      <c r="AR11" s="326"/>
      <c r="AS11" s="326"/>
      <c r="AT11" s="326"/>
      <c r="AU11" s="326"/>
      <c r="AV11" s="326"/>
      <c r="AW11" s="326"/>
      <c r="AX11" s="326"/>
      <c r="AY11" s="327"/>
      <c r="AZ11" s="326"/>
      <c r="BA11" s="326"/>
      <c r="BB11" s="326"/>
      <c r="BC11" s="326"/>
      <c r="BD11" s="326"/>
      <c r="BE11" s="326"/>
      <c r="BF11" s="326"/>
      <c r="BG11" s="326"/>
      <c r="BH11" s="326"/>
      <c r="BI11" s="326"/>
      <c r="BJ11" s="326"/>
      <c r="BK11" s="326"/>
      <c r="BL11" s="326"/>
      <c r="BM11" s="326"/>
      <c r="BN11" s="326"/>
      <c r="BO11" s="326"/>
      <c r="BP11" s="326"/>
      <c r="BQ11" s="326"/>
      <c r="BR11" s="326"/>
      <c r="BS11" s="326"/>
      <c r="BT11" s="326"/>
      <c r="BU11" s="326"/>
      <c r="BV11" s="326"/>
      <c r="BW11" s="326"/>
      <c r="BX11" s="326"/>
      <c r="BY11" s="326"/>
      <c r="BZ11" s="326"/>
      <c r="CA11" s="326"/>
      <c r="CB11" s="326"/>
      <c r="CC11" s="326"/>
      <c r="CD11" s="326"/>
      <c r="CE11" s="326"/>
      <c r="CF11" s="326"/>
      <c r="CG11" s="326"/>
      <c r="CH11" s="326"/>
      <c r="CI11" s="326"/>
    </row>
    <row r="12" spans="1:87" ht="14.25">
      <c r="A12" s="331"/>
      <c r="B12" s="315"/>
      <c r="C12" s="315" t="s">
        <v>392</v>
      </c>
      <c r="D12" s="316">
        <v>1</v>
      </c>
      <c r="E12" s="323">
        <f>SUM(AIML_cost!$D$4,AIML_cost!$D$14,AIML_cost!$D$24)/2</f>
        <v>216</v>
      </c>
      <c r="F12" s="324">
        <f>E12/7</f>
        <v>30.857142857142858</v>
      </c>
      <c r="G12" s="324">
        <f>F12/5</f>
        <v>6.1714285714285717</v>
      </c>
      <c r="H12" s="326"/>
      <c r="I12" s="326"/>
      <c r="J12" s="326"/>
      <c r="K12" s="326"/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  <c r="W12" s="326"/>
      <c r="X12" s="326"/>
      <c r="Y12" s="326"/>
      <c r="Z12" s="326"/>
      <c r="AA12" s="326"/>
      <c r="AB12" s="326"/>
      <c r="AC12" s="326"/>
      <c r="AD12" s="326"/>
      <c r="AE12" s="326"/>
      <c r="AF12" s="326"/>
      <c r="AG12" s="326"/>
      <c r="AH12" s="326"/>
      <c r="AI12" s="326"/>
      <c r="AJ12" s="326"/>
      <c r="AK12" s="326"/>
      <c r="AL12" s="326"/>
      <c r="AM12" s="326"/>
      <c r="AN12" s="326"/>
      <c r="AO12" s="326"/>
      <c r="AP12" s="326"/>
      <c r="AQ12" s="326"/>
      <c r="AR12" s="326"/>
      <c r="AS12" s="326"/>
      <c r="AT12" s="326"/>
      <c r="AU12" s="326"/>
      <c r="AV12" s="326"/>
      <c r="AW12" s="326"/>
      <c r="AX12" s="326"/>
      <c r="AY12" s="327"/>
      <c r="AZ12" s="326"/>
      <c r="BA12" s="326"/>
      <c r="BB12" s="326"/>
      <c r="BC12" s="326"/>
      <c r="BD12" s="326"/>
      <c r="BE12" s="326"/>
      <c r="BF12" s="326"/>
      <c r="BG12" s="326"/>
      <c r="BH12" s="326"/>
      <c r="BI12" s="326"/>
      <c r="BJ12" s="326"/>
      <c r="BK12" s="326"/>
      <c r="BL12" s="326"/>
      <c r="BM12" s="326"/>
      <c r="BN12" s="326"/>
      <c r="BO12" s="326"/>
      <c r="BP12" s="326"/>
      <c r="BQ12" s="326"/>
      <c r="BR12" s="326"/>
      <c r="BS12" s="326"/>
      <c r="BT12" s="326"/>
      <c r="BU12" s="326"/>
      <c r="BV12" s="326"/>
      <c r="BW12" s="326"/>
      <c r="BX12" s="326"/>
      <c r="BY12" s="326"/>
      <c r="BZ12" s="326"/>
      <c r="CA12" s="326"/>
      <c r="CB12" s="326"/>
      <c r="CC12" s="326"/>
      <c r="CD12" s="326"/>
      <c r="CE12" s="326"/>
      <c r="CF12" s="326"/>
      <c r="CG12" s="326"/>
      <c r="CH12" s="326"/>
      <c r="CI12" s="326"/>
    </row>
    <row r="13" spans="1:87" ht="14.25">
      <c r="B13" s="316" t="s">
        <v>393</v>
      </c>
      <c r="C13" s="315" t="s">
        <v>338</v>
      </c>
      <c r="D13" s="316">
        <v>1</v>
      </c>
      <c r="E13" s="406"/>
      <c r="F13" s="324"/>
      <c r="G13" s="324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  <c r="AH13" s="325"/>
      <c r="AI13" s="325"/>
      <c r="AJ13" s="325"/>
      <c r="AK13" s="325"/>
      <c r="AL13" s="325"/>
      <c r="AM13" s="325"/>
      <c r="AN13" s="325"/>
      <c r="AO13" s="325"/>
      <c r="AP13" s="325"/>
      <c r="AQ13" s="325"/>
      <c r="AR13" s="325"/>
      <c r="AS13" s="325"/>
      <c r="AT13" s="325"/>
      <c r="AU13" s="325"/>
      <c r="AV13" s="325"/>
      <c r="AW13" s="325"/>
      <c r="AX13" s="325"/>
      <c r="AY13" s="325"/>
      <c r="AZ13" s="325"/>
      <c r="BA13" s="325"/>
      <c r="BB13" s="325"/>
      <c r="BC13" s="325"/>
      <c r="BD13" s="325"/>
      <c r="BE13" s="325"/>
      <c r="BF13" s="325"/>
      <c r="BG13" s="325"/>
      <c r="BH13" s="325"/>
      <c r="BI13" s="325"/>
      <c r="BJ13" s="325"/>
      <c r="BK13" s="325"/>
      <c r="BL13" s="325"/>
      <c r="BM13" s="325"/>
      <c r="BN13" s="325"/>
      <c r="BO13" s="325"/>
      <c r="BP13" s="325"/>
      <c r="BQ13" s="325"/>
      <c r="BR13" s="325"/>
      <c r="BS13" s="325"/>
      <c r="BT13" s="325"/>
      <c r="BU13" s="325"/>
      <c r="BV13" s="325"/>
      <c r="BW13" s="325"/>
      <c r="BX13" s="325"/>
      <c r="BY13" s="325"/>
      <c r="BZ13" s="332"/>
      <c r="CA13" s="332"/>
      <c r="CB13" s="332"/>
      <c r="CC13" s="332"/>
      <c r="CD13" s="332"/>
      <c r="CE13" s="332"/>
      <c r="CF13" s="332"/>
      <c r="CG13" s="332"/>
      <c r="CH13" s="332"/>
      <c r="CI13" s="332"/>
    </row>
    <row r="14" spans="1:87" ht="14.25">
      <c r="B14" s="316"/>
      <c r="C14" s="315" t="s">
        <v>394</v>
      </c>
      <c r="D14" s="316">
        <v>0.5</v>
      </c>
      <c r="E14" s="407"/>
      <c r="F14" s="324"/>
      <c r="G14" s="324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  <c r="AA14" s="325"/>
      <c r="AB14" s="325"/>
      <c r="AC14" s="325"/>
      <c r="AD14" s="325"/>
      <c r="AE14" s="325"/>
      <c r="AF14" s="325"/>
      <c r="AG14" s="325"/>
      <c r="AH14" s="325"/>
      <c r="AI14" s="325"/>
      <c r="AJ14" s="325"/>
      <c r="AK14" s="325"/>
      <c r="AL14" s="325"/>
      <c r="AM14" s="325"/>
      <c r="AN14" s="325"/>
      <c r="AO14" s="325"/>
      <c r="AP14" s="325"/>
      <c r="AQ14" s="325"/>
      <c r="AR14" s="325"/>
      <c r="AS14" s="325"/>
      <c r="AT14" s="325"/>
      <c r="AU14" s="325"/>
      <c r="AV14" s="325"/>
      <c r="AW14" s="325"/>
      <c r="AX14" s="325"/>
      <c r="AY14" s="333"/>
      <c r="AZ14" s="325"/>
      <c r="BA14" s="325"/>
      <c r="BB14" s="325"/>
      <c r="BC14" s="325"/>
      <c r="BD14" s="325"/>
      <c r="BE14" s="325"/>
      <c r="BF14" s="325"/>
      <c r="BG14" s="325"/>
      <c r="BH14" s="325"/>
      <c r="BI14" s="325"/>
      <c r="BJ14" s="325"/>
      <c r="BK14" s="325"/>
      <c r="BL14" s="325"/>
      <c r="BM14" s="325"/>
      <c r="BN14" s="325"/>
      <c r="BO14" s="325"/>
      <c r="BP14" s="325"/>
      <c r="BQ14" s="325"/>
      <c r="BR14" s="325"/>
      <c r="BS14" s="325"/>
      <c r="BT14" s="325"/>
      <c r="BU14" s="325"/>
      <c r="BV14" s="325"/>
      <c r="BW14" s="325"/>
      <c r="BX14" s="325"/>
      <c r="BY14" s="325"/>
      <c r="BZ14" s="332"/>
      <c r="CA14" s="332"/>
      <c r="CB14" s="332"/>
      <c r="CC14" s="332"/>
      <c r="CD14" s="332"/>
      <c r="CE14" s="332"/>
      <c r="CF14" s="332"/>
      <c r="CG14" s="332"/>
      <c r="CH14" s="332"/>
      <c r="CI14" s="332"/>
    </row>
    <row r="15" spans="1:87" ht="14.25">
      <c r="B15" s="316"/>
      <c r="C15" s="315" t="s">
        <v>395</v>
      </c>
      <c r="D15" s="316">
        <v>0.5</v>
      </c>
      <c r="E15" s="408"/>
      <c r="F15" s="324"/>
      <c r="G15" s="324"/>
      <c r="H15" s="325"/>
      <c r="I15" s="325"/>
      <c r="J15" s="325"/>
      <c r="K15" s="325"/>
      <c r="L15" s="325"/>
      <c r="M15" s="325"/>
      <c r="N15" s="325"/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  <c r="AA15" s="325"/>
      <c r="AB15" s="325"/>
      <c r="AC15" s="325"/>
      <c r="AD15" s="325"/>
      <c r="AE15" s="325"/>
      <c r="AF15" s="325"/>
      <c r="AG15" s="325"/>
      <c r="AH15" s="325"/>
      <c r="AI15" s="325"/>
      <c r="AJ15" s="325"/>
      <c r="AK15" s="325"/>
      <c r="AL15" s="325"/>
      <c r="AM15" s="325"/>
      <c r="AN15" s="325"/>
      <c r="AO15" s="325"/>
      <c r="AP15" s="325"/>
      <c r="AQ15" s="325"/>
      <c r="AR15" s="325"/>
      <c r="AS15" s="325"/>
      <c r="AT15" s="325"/>
      <c r="AU15" s="325"/>
      <c r="AV15" s="325"/>
      <c r="AW15" s="325"/>
      <c r="AX15" s="325"/>
      <c r="AY15" s="333"/>
      <c r="AZ15" s="325"/>
      <c r="BA15" s="325"/>
      <c r="BB15" s="325"/>
      <c r="BC15" s="325"/>
      <c r="BD15" s="325"/>
      <c r="BE15" s="325"/>
      <c r="BF15" s="325"/>
      <c r="BG15" s="325"/>
      <c r="BH15" s="325"/>
      <c r="BI15" s="325"/>
      <c r="BJ15" s="325"/>
      <c r="BK15" s="325"/>
      <c r="BL15" s="325"/>
      <c r="BM15" s="325"/>
      <c r="BN15" s="325"/>
      <c r="BO15" s="325"/>
      <c r="BP15" s="325"/>
      <c r="BQ15" s="325"/>
      <c r="BR15" s="325"/>
      <c r="BS15" s="325"/>
      <c r="BT15" s="325"/>
      <c r="BU15" s="325"/>
      <c r="BV15" s="325"/>
      <c r="BW15" s="325"/>
      <c r="BX15" s="325"/>
      <c r="BY15" s="325"/>
      <c r="BZ15" s="332"/>
      <c r="CA15" s="332"/>
      <c r="CB15" s="332"/>
      <c r="CC15" s="332"/>
      <c r="CD15" s="332"/>
      <c r="CE15" s="332"/>
      <c r="CF15" s="332"/>
      <c r="CG15" s="332"/>
      <c r="CH15" s="332"/>
      <c r="CI15" s="332"/>
    </row>
    <row r="16" spans="1:87" ht="14.25">
      <c r="B16" s="316"/>
      <c r="C16" s="315" t="s">
        <v>396</v>
      </c>
      <c r="D16" s="316">
        <v>1</v>
      </c>
      <c r="E16" s="323"/>
      <c r="F16" s="324"/>
      <c r="G16" s="324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26"/>
      <c r="AU16" s="326"/>
      <c r="AV16" s="326"/>
      <c r="AW16" s="326"/>
      <c r="AX16" s="326"/>
      <c r="AY16" s="327"/>
      <c r="AZ16" s="326"/>
      <c r="BA16" s="326"/>
      <c r="BB16" s="326"/>
      <c r="BC16" s="326"/>
      <c r="BD16" s="326"/>
      <c r="BE16" s="326"/>
      <c r="BF16" s="326"/>
      <c r="BG16" s="326"/>
      <c r="BH16" s="326"/>
      <c r="BI16" s="326"/>
      <c r="BJ16" s="326"/>
      <c r="BK16" s="326"/>
      <c r="BL16" s="326"/>
      <c r="BM16" s="326"/>
      <c r="BN16" s="326"/>
      <c r="BO16" s="326"/>
      <c r="BP16" s="326"/>
      <c r="BQ16" s="326"/>
      <c r="BR16" s="326"/>
      <c r="BS16" s="326"/>
      <c r="BT16" s="326"/>
      <c r="BU16" s="326"/>
      <c r="BV16" s="326"/>
      <c r="BW16" s="326"/>
      <c r="BX16" s="326"/>
      <c r="BY16" s="326"/>
      <c r="BZ16" s="326"/>
      <c r="CA16" s="326"/>
      <c r="CB16" s="326"/>
      <c r="CC16" s="326"/>
      <c r="CD16" s="326"/>
      <c r="CE16" s="326"/>
      <c r="CF16" s="326"/>
      <c r="CG16" s="326"/>
      <c r="CH16" s="326"/>
      <c r="CI16" s="326"/>
    </row>
    <row r="17" spans="2:87" ht="14.25">
      <c r="B17" s="334" t="s">
        <v>397</v>
      </c>
      <c r="C17" s="334"/>
      <c r="D17" s="334"/>
      <c r="E17" s="323"/>
      <c r="F17" s="323"/>
      <c r="G17" s="335"/>
      <c r="H17" s="336"/>
      <c r="I17" s="336"/>
      <c r="J17" s="336"/>
      <c r="K17" s="336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6"/>
      <c r="AC17" s="336"/>
      <c r="AD17" s="336"/>
      <c r="AE17" s="336"/>
      <c r="AF17" s="336"/>
      <c r="AG17" s="336"/>
      <c r="AH17" s="336"/>
      <c r="AI17" s="336"/>
      <c r="AJ17" s="336"/>
      <c r="AK17" s="336"/>
      <c r="AL17" s="336"/>
      <c r="AM17" s="336"/>
      <c r="AN17" s="336"/>
      <c r="AO17" s="336"/>
      <c r="AP17" s="336"/>
      <c r="AQ17" s="336"/>
      <c r="AR17" s="336"/>
      <c r="AS17" s="336"/>
      <c r="AT17" s="336"/>
      <c r="AU17" s="336"/>
      <c r="AV17" s="336"/>
      <c r="AW17" s="336"/>
      <c r="AX17" s="336"/>
      <c r="AY17" s="326"/>
      <c r="AZ17" s="326"/>
      <c r="BA17" s="326"/>
      <c r="BB17" s="326"/>
      <c r="BC17" s="326"/>
      <c r="BD17" s="326"/>
      <c r="BE17" s="326"/>
      <c r="BF17" s="326"/>
      <c r="BG17" s="326"/>
      <c r="BH17" s="326"/>
      <c r="BI17" s="326"/>
      <c r="BJ17" s="326"/>
      <c r="BK17" s="326"/>
      <c r="BL17" s="326"/>
      <c r="BM17" s="326"/>
      <c r="BN17" s="326"/>
      <c r="BO17" s="326"/>
      <c r="BP17" s="326"/>
      <c r="BQ17" s="326"/>
      <c r="BR17" s="326"/>
      <c r="BS17" s="326"/>
      <c r="BT17" s="326"/>
      <c r="BU17" s="326"/>
      <c r="BV17" s="326"/>
      <c r="BW17" s="326"/>
      <c r="BX17" s="326"/>
      <c r="BY17" s="326"/>
      <c r="BZ17" s="326"/>
      <c r="CA17" s="326"/>
      <c r="CB17" s="326"/>
      <c r="CC17" s="326"/>
      <c r="CD17" s="326"/>
      <c r="CE17" s="326"/>
      <c r="CF17" s="326"/>
      <c r="CG17" s="326"/>
      <c r="CH17" s="326"/>
      <c r="CI17" s="326"/>
    </row>
    <row r="18" spans="2:87" ht="14.25">
      <c r="B18" s="315"/>
      <c r="C18" s="315" t="s">
        <v>398</v>
      </c>
      <c r="D18" s="316"/>
      <c r="E18" s="323"/>
      <c r="F18" s="323"/>
      <c r="G18" s="323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6"/>
      <c r="T18" s="326"/>
      <c r="U18" s="326"/>
      <c r="V18" s="326"/>
      <c r="W18" s="326"/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26"/>
      <c r="AU18" s="326"/>
      <c r="AV18" s="326"/>
      <c r="AW18" s="326"/>
      <c r="AX18" s="326"/>
      <c r="AY18" s="326"/>
      <c r="AZ18" s="326"/>
      <c r="BA18" s="326"/>
      <c r="BB18" s="326"/>
      <c r="BC18" s="326"/>
      <c r="BD18" s="326"/>
      <c r="BE18" s="326"/>
      <c r="BF18" s="326"/>
      <c r="BG18" s="326"/>
      <c r="BH18" s="326"/>
      <c r="BI18" s="326"/>
      <c r="BJ18" s="326"/>
      <c r="BK18" s="326"/>
      <c r="BL18" s="326"/>
      <c r="BM18" s="326"/>
      <c r="BN18" s="326"/>
      <c r="BO18" s="326"/>
      <c r="BP18" s="326"/>
      <c r="BQ18" s="326"/>
      <c r="BR18" s="326"/>
      <c r="BS18" s="326"/>
      <c r="BT18" s="326"/>
      <c r="BU18" s="326"/>
      <c r="BV18" s="326"/>
      <c r="BW18" s="326"/>
      <c r="BX18" s="326"/>
      <c r="BY18" s="326"/>
      <c r="BZ18" s="326"/>
      <c r="CA18" s="326"/>
      <c r="CB18" s="326"/>
      <c r="CC18" s="326"/>
      <c r="CD18" s="326"/>
      <c r="CE18" s="326"/>
      <c r="CF18" s="326"/>
      <c r="CG18" s="326"/>
      <c r="CH18" s="326"/>
      <c r="CI18" s="326"/>
    </row>
    <row r="19" spans="2:87" ht="14.25">
      <c r="B19" s="334" t="s">
        <v>397</v>
      </c>
      <c r="C19" s="334"/>
      <c r="D19" s="334">
        <f>SUM(D5:D16)</f>
        <v>11</v>
      </c>
      <c r="E19" s="323"/>
      <c r="F19" s="323"/>
      <c r="G19" s="323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26"/>
      <c r="AU19" s="326"/>
      <c r="AV19" s="326"/>
      <c r="AW19" s="326"/>
      <c r="AX19" s="326"/>
      <c r="AY19" s="326"/>
      <c r="AZ19" s="326"/>
      <c r="BA19" s="326"/>
      <c r="BB19" s="326"/>
      <c r="BC19" s="326"/>
      <c r="BD19" s="326"/>
      <c r="BE19" s="326"/>
      <c r="BF19" s="326"/>
      <c r="BG19" s="326"/>
      <c r="BH19" s="326"/>
      <c r="BI19" s="326"/>
      <c r="BJ19" s="326"/>
      <c r="BK19" s="326"/>
      <c r="BL19" s="326"/>
      <c r="BM19" s="326"/>
      <c r="BN19" s="326"/>
      <c r="BO19" s="326"/>
      <c r="BP19" s="326"/>
      <c r="BQ19" s="326"/>
      <c r="BR19" s="326"/>
      <c r="BS19" s="326"/>
      <c r="BT19" s="326"/>
      <c r="BU19" s="326"/>
      <c r="BV19" s="326"/>
      <c r="BW19" s="326"/>
      <c r="BX19" s="326"/>
      <c r="BY19" s="326"/>
      <c r="BZ19" s="326"/>
      <c r="CA19" s="326"/>
      <c r="CB19" s="326"/>
      <c r="CC19" s="326"/>
      <c r="CD19" s="326"/>
      <c r="CE19" s="326"/>
      <c r="CF19" s="326"/>
      <c r="CG19" s="326"/>
      <c r="CH19" s="326"/>
      <c r="CI19" s="326"/>
    </row>
    <row r="20" spans="2:87" ht="14.25"/>
    <row r="21" spans="2:87" ht="14.25"/>
    <row r="22" spans="2:87" ht="14.25">
      <c r="H22" t="s">
        <v>82</v>
      </c>
      <c r="I22" t="s">
        <v>0</v>
      </c>
      <c r="L22" t="s">
        <v>83</v>
      </c>
      <c r="M22" t="s">
        <v>84</v>
      </c>
      <c r="N22" t="s">
        <v>85</v>
      </c>
      <c r="O22" t="s">
        <v>86</v>
      </c>
      <c r="P22" t="s">
        <v>87</v>
      </c>
      <c r="Q22" t="s">
        <v>88</v>
      </c>
      <c r="R22" t="s">
        <v>89</v>
      </c>
      <c r="S22" t="s">
        <v>90</v>
      </c>
    </row>
    <row r="23" spans="2:87" ht="15" customHeight="1">
      <c r="B23" s="337" t="s">
        <v>399</v>
      </c>
      <c r="C23" s="338" t="s">
        <v>400</v>
      </c>
      <c r="D23" s="338" t="s">
        <v>401</v>
      </c>
      <c r="E23" s="338" t="s">
        <v>299</v>
      </c>
      <c r="F23" s="339" t="s">
        <v>402</v>
      </c>
      <c r="G23" s="317"/>
      <c r="H23" t="s">
        <v>96</v>
      </c>
      <c r="I23" t="s">
        <v>97</v>
      </c>
      <c r="L23" t="s">
        <v>98</v>
      </c>
      <c r="M23" t="s">
        <v>99</v>
      </c>
      <c r="N23" t="s">
        <v>100</v>
      </c>
    </row>
    <row r="24" spans="2:87" ht="15" customHeight="1">
      <c r="B24" s="340"/>
      <c r="C24" s="341" t="s">
        <v>403</v>
      </c>
      <c r="D24" s="342">
        <f>[1]Scraping!F22</f>
        <v>1578</v>
      </c>
      <c r="E24" s="343">
        <f>[1]Scraping!H22</f>
        <v>53500</v>
      </c>
      <c r="F24" s="340"/>
      <c r="H24" t="s">
        <v>102</v>
      </c>
      <c r="I24" t="s">
        <v>101</v>
      </c>
      <c r="J24">
        <v>12.571428571428571</v>
      </c>
      <c r="K24">
        <v>1.2571428571428571</v>
      </c>
      <c r="L24" t="s">
        <v>98</v>
      </c>
      <c r="M24" t="s">
        <v>99</v>
      </c>
    </row>
    <row r="25" spans="2:87" ht="15" customHeight="1">
      <c r="B25" s="340"/>
      <c r="C25" s="341" t="s">
        <v>404</v>
      </c>
      <c r="D25" s="342">
        <f>[1]pricing_estimate_AIML!B70</f>
        <v>807.09999999999991</v>
      </c>
      <c r="E25" s="343">
        <f>[1]pricing_estimate_AIML!D52</f>
        <v>23509.5</v>
      </c>
      <c r="F25" s="340"/>
      <c r="I25" t="s">
        <v>103</v>
      </c>
      <c r="J25">
        <v>35.428571428571431</v>
      </c>
      <c r="K25">
        <v>3.5428571428571431</v>
      </c>
      <c r="N25" t="s">
        <v>100</v>
      </c>
      <c r="O25" t="s">
        <v>104</v>
      </c>
      <c r="P25" t="s">
        <v>105</v>
      </c>
      <c r="Q25" t="s">
        <v>106</v>
      </c>
    </row>
    <row r="26" spans="2:87" ht="15" customHeight="1">
      <c r="B26" s="340"/>
      <c r="C26" s="341" t="s">
        <v>405</v>
      </c>
      <c r="D26" s="342">
        <f>'[1]Web Application'!B46</f>
        <v>807.48</v>
      </c>
      <c r="E26" s="343">
        <f>'[1]Web Application'!D46</f>
        <v>21214.12</v>
      </c>
      <c r="F26" s="340"/>
      <c r="I26" t="s">
        <v>107</v>
      </c>
      <c r="J26">
        <v>13.714285714285714</v>
      </c>
      <c r="K26">
        <v>1.3714285714285714</v>
      </c>
      <c r="R26" t="s">
        <v>108</v>
      </c>
      <c r="S26" t="s">
        <v>109</v>
      </c>
    </row>
    <row r="27" spans="2:87" ht="15" customHeight="1">
      <c r="B27" s="340"/>
      <c r="C27" s="344" t="s">
        <v>406</v>
      </c>
      <c r="D27" s="345">
        <f>SUM(D24:D26)</f>
        <v>3192.58</v>
      </c>
      <c r="E27" s="346">
        <f>SUM(E24:E26)</f>
        <v>98223.62</v>
      </c>
      <c r="F27" s="340"/>
    </row>
    <row r="28" spans="2:87" ht="15" customHeight="1">
      <c r="B28" s="340"/>
      <c r="C28" s="340" t="s">
        <v>407</v>
      </c>
      <c r="D28" s="342">
        <f>D27*0.25</f>
        <v>798.14499999999998</v>
      </c>
      <c r="E28" s="343">
        <f>D28*'[1]Rate Card'!B5</f>
        <v>23944.35</v>
      </c>
      <c r="F28" s="340" t="s">
        <v>408</v>
      </c>
    </row>
    <row r="29" spans="2:87" ht="15" customHeight="1">
      <c r="B29" s="340"/>
      <c r="C29" s="340" t="s">
        <v>396</v>
      </c>
      <c r="D29" s="342">
        <f>D27*0.2</f>
        <v>638.51600000000008</v>
      </c>
      <c r="E29" s="343">
        <f>D29*'[1]Rate Card'!B4</f>
        <v>12770.320000000002</v>
      </c>
      <c r="F29" s="347" t="s">
        <v>409</v>
      </c>
      <c r="G29" s="322"/>
    </row>
    <row r="30" spans="2:87" ht="15" customHeight="1">
      <c r="B30" s="340"/>
      <c r="C30" s="341" t="s">
        <v>410</v>
      </c>
      <c r="D30" s="342">
        <v>0</v>
      </c>
      <c r="E30" s="343">
        <v>0</v>
      </c>
      <c r="F30" s="348" t="s">
        <v>411</v>
      </c>
      <c r="G30" s="331"/>
    </row>
    <row r="31" spans="2:87" ht="15" customHeight="1">
      <c r="B31" s="340"/>
      <c r="C31" s="341" t="s">
        <v>412</v>
      </c>
      <c r="D31" s="342">
        <v>40</v>
      </c>
      <c r="E31" s="343">
        <f>D31*'[1]Rate Card'!F7</f>
        <v>800</v>
      </c>
      <c r="F31" s="347"/>
      <c r="G31" s="322"/>
    </row>
    <row r="32" spans="2:87" ht="15" customHeight="1">
      <c r="B32" s="340"/>
      <c r="C32" s="340" t="s">
        <v>413</v>
      </c>
      <c r="D32" s="342">
        <f>D27*0.1</f>
        <v>319.25800000000004</v>
      </c>
      <c r="E32" s="343">
        <f>D32*'[1]Rate Card'!F8</f>
        <v>7342.9340000000011</v>
      </c>
      <c r="F32" s="347" t="s">
        <v>414</v>
      </c>
      <c r="G32" s="322"/>
    </row>
    <row r="33" spans="2:7" ht="15" customHeight="1">
      <c r="B33" s="340"/>
      <c r="C33" s="340" t="s">
        <v>415</v>
      </c>
      <c r="D33" s="349"/>
      <c r="E33" s="343">
        <f>[1]Scraping!F31</f>
        <v>1190</v>
      </c>
      <c r="F33" s="347" t="s">
        <v>416</v>
      </c>
      <c r="G33" s="322"/>
    </row>
    <row r="34" spans="2:7" ht="15" customHeight="1">
      <c r="B34" s="340"/>
      <c r="C34" s="350" t="s">
        <v>417</v>
      </c>
      <c r="D34" s="351"/>
      <c r="E34" s="346">
        <f>SUM(E28:E33)+E27</f>
        <v>144271.22399999999</v>
      </c>
      <c r="F34" s="340"/>
    </row>
    <row r="35" spans="2:7" ht="15" customHeight="1">
      <c r="B35" s="340"/>
      <c r="C35" s="340" t="s">
        <v>418</v>
      </c>
      <c r="D35" s="342"/>
      <c r="E35" s="343">
        <f>[1]Scraping!F45 *24</f>
        <v>196560</v>
      </c>
      <c r="F35" s="348" t="s">
        <v>419</v>
      </c>
      <c r="G35" s="331"/>
    </row>
    <row r="36" spans="2:7" ht="15" customHeight="1">
      <c r="B36" s="340"/>
      <c r="C36" s="340" t="s">
        <v>420</v>
      </c>
      <c r="D36" s="342"/>
      <c r="E36" s="343"/>
      <c r="F36" s="348"/>
      <c r="G36" s="331"/>
    </row>
    <row r="37" spans="2:7" ht="15" customHeight="1">
      <c r="B37" s="340"/>
      <c r="C37" s="350" t="s">
        <v>421</v>
      </c>
      <c r="D37" s="352">
        <f>SUM(D27:D32)</f>
        <v>4988.4989999999998</v>
      </c>
      <c r="E37" s="353">
        <f>SUM(E24:E35)</f>
        <v>583326.06799999997</v>
      </c>
      <c r="F37" s="340"/>
    </row>
    <row r="38" spans="2:7" ht="15" customHeight="1">
      <c r="D38"/>
      <c r="E38"/>
    </row>
    <row r="39" spans="2:7" ht="15" customHeight="1">
      <c r="C39" t="s">
        <v>422</v>
      </c>
      <c r="D39" s="354">
        <f>D37/D45</f>
        <v>712.64271428571431</v>
      </c>
      <c r="E39"/>
    </row>
    <row r="40" spans="2:7" ht="15" customHeight="1">
      <c r="C40" t="s">
        <v>423</v>
      </c>
      <c r="D40">
        <f>620/10</f>
        <v>62</v>
      </c>
      <c r="E40"/>
    </row>
    <row r="41" spans="2:7" ht="15" customHeight="1">
      <c r="C41" t="s">
        <v>424</v>
      </c>
      <c r="D41" s="354">
        <f>62/5</f>
        <v>12.4</v>
      </c>
      <c r="E41"/>
    </row>
    <row r="42" spans="2:7" ht="15" customHeight="1">
      <c r="C42" t="s">
        <v>425</v>
      </c>
      <c r="D42" s="354">
        <f>D41/2</f>
        <v>6.2</v>
      </c>
      <c r="E42"/>
    </row>
    <row r="43" spans="2:7" ht="15" customHeight="1">
      <c r="D43"/>
      <c r="E43"/>
    </row>
    <row r="44" spans="2:7" ht="15" customHeight="1">
      <c r="C44" t="s">
        <v>426</v>
      </c>
      <c r="D44"/>
      <c r="E44"/>
    </row>
    <row r="45" spans="2:7" ht="15" customHeight="1">
      <c r="C45" s="334" t="s">
        <v>427</v>
      </c>
      <c r="D45" s="316">
        <v>7</v>
      </c>
    </row>
    <row r="46" spans="2:7" ht="15" customHeight="1">
      <c r="C46" s="316" t="s">
        <v>428</v>
      </c>
      <c r="D46" s="316">
        <v>5</v>
      </c>
    </row>
  </sheetData>
  <mergeCells count="28">
    <mergeCell ref="B1:BX1"/>
    <mergeCell ref="H2:BY2"/>
    <mergeCell ref="H3:Q3"/>
    <mergeCell ref="R3:AA3"/>
    <mergeCell ref="AB3:AK3"/>
    <mergeCell ref="AL3:AP3"/>
    <mergeCell ref="AQ3:AZ3"/>
    <mergeCell ref="BA3:BJ3"/>
    <mergeCell ref="BK3:BT3"/>
    <mergeCell ref="BU3:BY3"/>
    <mergeCell ref="BZ3:CI3"/>
    <mergeCell ref="H4:L4"/>
    <mergeCell ref="M4:Q4"/>
    <mergeCell ref="R4:V4"/>
    <mergeCell ref="W4:AA4"/>
    <mergeCell ref="AB4:AF4"/>
    <mergeCell ref="AG4:AK4"/>
    <mergeCell ref="AL4:AP4"/>
    <mergeCell ref="AQ4:AU4"/>
    <mergeCell ref="AV4:AZ4"/>
    <mergeCell ref="CE4:CI4"/>
    <mergeCell ref="BU4:BY4"/>
    <mergeCell ref="BZ4:CD4"/>
    <mergeCell ref="E13:E15"/>
    <mergeCell ref="BA4:BE4"/>
    <mergeCell ref="BF4:BJ4"/>
    <mergeCell ref="BK4:BO4"/>
    <mergeCell ref="BP4:BT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Sowmya  Vivek</dc:creator>
  <cp:keywords/>
  <dc:description/>
  <cp:lastModifiedBy/>
  <cp:revision/>
  <dcterms:created xsi:type="dcterms:W3CDTF">2025-03-20T11:28:37Z</dcterms:created>
  <dcterms:modified xsi:type="dcterms:W3CDTF">2025-11-17T13:24:21Z</dcterms:modified>
  <cp:category/>
  <cp:contentStatus/>
</cp:coreProperties>
</file>