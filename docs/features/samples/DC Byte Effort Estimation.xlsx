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06"/>
  <workbookPr/>
  <mc:AlternateContent xmlns:mc="http://schemas.openxmlformats.org/markup-compatibility/2006">
    <mc:Choice Requires="x15">
      <x15ac:absPath xmlns:x15ac="http://schemas.microsoft.com/office/spreadsheetml/2010/11/ac" url="https://meritgroupo365-my.sharepoint.com/personal/gunjan_bhogal_meritgroup_co_uk/Documents/Microsoft Teams Chat Files/"/>
    </mc:Choice>
  </mc:AlternateContent>
  <xr:revisionPtr revIDLastSave="676" documentId="11_2260BFF19C6DF12AF4FB67BEF9CEDB4A54F46090" xr6:coauthVersionLast="47" xr6:coauthVersionMax="47" xr10:uidLastSave="{A8C4BB99-DB1E-48B8-996F-7DDB5FC5DCB9}"/>
  <bookViews>
    <workbookView xWindow="-110" yWindow="-110" windowWidth="19420" windowHeight="10300" firstSheet="1" xr2:uid="{00000000-000D-0000-FFFF-FFFF00000000}"/>
  </bookViews>
  <sheets>
    <sheet name="Scraper_Estimation_FullProject" sheetId="6" r:id="rId1"/>
    <sheet name="Infrastructure_Details_FullProj" sheetId="7" r:id="rId2"/>
    <sheet name="Scraper_Estimation_POC" sheetId="4" r:id="rId3"/>
    <sheet name="DC Byte Poc" sheetId="1" r:id="rId4"/>
    <sheet name="Sheet1" sheetId="8" r:id="rId5"/>
    <sheet name="Infrastructure_Details" sheetId="5" r:id="rId6"/>
    <sheet name="Tasks List" sheetId="3"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6" l="1"/>
  <c r="O11" i="6"/>
  <c r="N11" i="6"/>
  <c r="I20" i="7"/>
  <c r="B24" i="8"/>
  <c r="B42" i="8"/>
  <c r="B27" i="8"/>
  <c r="B33" i="8"/>
  <c r="B30" i="8"/>
  <c r="B26" i="8"/>
  <c r="B35" i="8"/>
  <c r="B28" i="8"/>
  <c r="B25" i="8"/>
  <c r="B23" i="8"/>
  <c r="B31" i="8"/>
  <c r="B37" i="8" s="1"/>
  <c r="B12" i="8"/>
  <c r="B18" i="8" s="1"/>
  <c r="M10" i="7"/>
  <c r="M9" i="7"/>
  <c r="M8" i="7"/>
  <c r="M7" i="7"/>
  <c r="M6" i="7"/>
  <c r="M5" i="7"/>
  <c r="M4" i="7"/>
  <c r="O10" i="7"/>
  <c r="O9" i="7"/>
  <c r="O8" i="7"/>
  <c r="O7" i="7"/>
  <c r="O6" i="7"/>
  <c r="O5" i="7"/>
  <c r="O4" i="7"/>
  <c r="O11" i="7"/>
  <c r="N11" i="7"/>
  <c r="M11" i="7"/>
  <c r="L19" i="7"/>
  <c r="L17" i="7"/>
  <c r="L18" i="7"/>
  <c r="D16" i="7"/>
  <c r="I11" i="7"/>
  <c r="J11" i="7" s="1"/>
  <c r="I10" i="7"/>
  <c r="E8" i="7"/>
  <c r="E7" i="7"/>
  <c r="E6" i="7"/>
  <c r="E5" i="7"/>
  <c r="E4" i="7"/>
  <c r="E16" i="7" s="1"/>
  <c r="E26" i="6"/>
  <c r="E25" i="6"/>
  <c r="E24" i="6"/>
  <c r="E21" i="6"/>
  <c r="D16" i="6"/>
  <c r="E16" i="6" s="1"/>
  <c r="I8" i="6"/>
  <c r="L8" i="6" s="1"/>
  <c r="I7" i="6"/>
  <c r="L7" i="6" s="1"/>
  <c r="L9" i="6" s="1"/>
  <c r="D11" i="6" s="1"/>
  <c r="D10" i="6" s="1"/>
  <c r="D6" i="6"/>
  <c r="E6" i="6" s="1"/>
  <c r="E16" i="5"/>
  <c r="E5" i="5"/>
  <c r="E6" i="5"/>
  <c r="E7" i="5"/>
  <c r="E8" i="5"/>
  <c r="E4" i="5"/>
  <c r="D5" i="1"/>
  <c r="B53" i="1"/>
  <c r="D53" i="1" s="1"/>
  <c r="D67" i="1"/>
  <c r="D40" i="1"/>
  <c r="D39" i="1"/>
  <c r="D36" i="1"/>
  <c r="D37" i="1"/>
  <c r="D35" i="1"/>
  <c r="D15" i="1"/>
  <c r="D16" i="1"/>
  <c r="D17" i="1"/>
  <c r="D18" i="1"/>
  <c r="D10" i="1"/>
  <c r="D9" i="1"/>
  <c r="D16" i="5"/>
  <c r="I11" i="5"/>
  <c r="J11" i="5" s="1"/>
  <c r="I10" i="5"/>
  <c r="D32" i="1"/>
  <c r="D6" i="1"/>
  <c r="D4" i="1"/>
  <c r="I7" i="4"/>
  <c r="L7" i="4"/>
  <c r="I8" i="4"/>
  <c r="L8" i="4"/>
  <c r="D6" i="4"/>
  <c r="E6" i="4"/>
  <c r="D16" i="4"/>
  <c r="E16" i="4" s="1"/>
  <c r="E20" i="4"/>
  <c r="E23" i="4"/>
  <c r="E24" i="4"/>
  <c r="D50" i="1"/>
  <c r="B60" i="1"/>
  <c r="B59" i="1"/>
  <c r="D48" i="1"/>
  <c r="D47" i="1"/>
  <c r="D44" i="1"/>
  <c r="D31" i="1"/>
  <c r="D30" i="1"/>
  <c r="D27" i="1"/>
  <c r="D26" i="1"/>
  <c r="D23" i="1"/>
  <c r="D22" i="1"/>
  <c r="D21" i="1"/>
  <c r="D14" i="1"/>
  <c r="P4" i="7" l="1"/>
  <c r="P5" i="7"/>
  <c r="P7" i="7"/>
  <c r="P8" i="7"/>
  <c r="P9" i="7"/>
  <c r="P10" i="7"/>
  <c r="P6" i="7"/>
  <c r="P11" i="7" s="1"/>
  <c r="D23" i="6"/>
  <c r="E10" i="6"/>
  <c r="D55" i="1"/>
  <c r="D69" i="1" s="1"/>
  <c r="B61" i="1"/>
  <c r="L9" i="4"/>
  <c r="D11" i="4" s="1"/>
  <c r="D10" i="4" s="1"/>
  <c r="E10" i="4"/>
  <c r="D22" i="4"/>
  <c r="D30" i="6" l="1"/>
  <c r="E23" i="6"/>
  <c r="E22" i="4"/>
  <c r="D31" i="6" l="1"/>
  <c r="E30" i="6"/>
  <c r="E25" i="4"/>
  <c r="D29" i="4"/>
  <c r="E29" i="4" s="1"/>
  <c r="E31" i="6" l="1"/>
  <c r="E32" i="6" s="1"/>
  <c r="D32" i="6"/>
  <c r="D30" i="4"/>
  <c r="E30" i="4" s="1"/>
  <c r="D31" i="4" l="1"/>
  <c r="E31" i="4"/>
  <c r="B55" i="1"/>
</calcChain>
</file>

<file path=xl/sharedStrings.xml><?xml version="1.0" encoding="utf-8"?>
<sst xmlns="http://schemas.openxmlformats.org/spreadsheetml/2006/main" count="449" uniqueCount="216">
  <si>
    <t>Robust Solution Development for Finding Land Purchase deals(Datacenters)</t>
  </si>
  <si>
    <t> </t>
  </si>
  <si>
    <t>I. Design, Development and Deployment of Solution  - One off Cost</t>
  </si>
  <si>
    <t>US Only for POC</t>
  </si>
  <si>
    <t>S.No</t>
  </si>
  <si>
    <t xml:space="preserve">Project Task / Activity Description </t>
  </si>
  <si>
    <t>Cost per hour</t>
  </si>
  <si>
    <t>Effort in Hours</t>
  </si>
  <si>
    <t>Total Cost</t>
  </si>
  <si>
    <t>Total Sources(Assumption)</t>
  </si>
  <si>
    <t>Planning, Design and System Set up </t>
  </si>
  <si>
    <t>Category</t>
  </si>
  <si>
    <t>Approx. % of Sources</t>
  </si>
  <si>
    <t>Approx. Count (out of 2000)</t>
  </si>
  <si>
    <t>Scraping Approach</t>
  </si>
  <si>
    <t>Hours Required(for each website)</t>
  </si>
  <si>
    <t>Total Hours Required</t>
  </si>
  <si>
    <t>Solution Approach (System Architecture and Database Design)</t>
  </si>
  <si>
    <t>Common Framework (Press releases, aggregators, financial/industry media, marketplaces, open data, commercial providers)</t>
  </si>
  <si>
    <t>Generic crawler framework (Scrapy + Playwright + article/PDF/text extractor + NLP for facts)</t>
  </si>
  <si>
    <t>Infrastructure Setup</t>
  </si>
  <si>
    <t>Custom Scrapers (Government registries, court/legal, zoning/permits, auction/tender portals, OCR-heavy sources)(OCR + Multilingual Layer (subset of custom))</t>
  </si>
  <si>
    <t>Site-specific scrapers, form-handling, OCR for PDFs, multilingual pipelines
OCR (Donut/Tesseract) + translation dictionaries/models</t>
  </si>
  <si>
    <t>Total</t>
  </si>
  <si>
    <t>Scraper Development/Configuration</t>
  </si>
  <si>
    <t>2000 Sources(Media sites, land registries, company websites, compatitor website)
1. Key media sources – state level business publications / magazines and country level newspapers / magazines (US only) and not exceeding 15 URLs
2. Key competitor websites (not more than 3) to be screened for identifying relevant posts
3. Land registry extraction covering 5 US states (to be suggested by DCB) – Merit recommendation for 5 states : Virginia, Texas, Arizona, Georgia, Ohio</t>
  </si>
  <si>
    <t xml:space="preserve">Company-level press releases and annual reports details will be extracted during the PoC stage itself to identify further land transactions
</t>
  </si>
  <si>
    <t>Data scraped and collected from 15 Twitter handles</t>
  </si>
  <si>
    <t>Larger Project</t>
  </si>
  <si>
    <t xml:space="preserve">Open Search(Google OpenSearch limited to first 10 pages to identify relevant base articles or leads (English only) – United States)
</t>
  </si>
  <si>
    <t>Linkedin Posts Scraping
1. Key word search on LinkedIn to extract relevant posts (United States)
2. SME links (20 key contacts)
3. Key company links (20 orgs)</t>
  </si>
  <si>
    <t>Data Transformation, Logging, Alerts, Reports and Delivery</t>
  </si>
  <si>
    <t>Slides</t>
  </si>
  <si>
    <t>Download and Upload processed files(Raw responses will be stored in Blob storage)</t>
  </si>
  <si>
    <t>Workflow diagram</t>
  </si>
  <si>
    <t>Content DeDuping</t>
  </si>
  <si>
    <t>Technical architecture</t>
  </si>
  <si>
    <t>Multilingual sources(Translation Required)</t>
  </si>
  <si>
    <t>Logging</t>
  </si>
  <si>
    <t>Cost</t>
  </si>
  <si>
    <t>Data Quality &amp; Validation</t>
  </si>
  <si>
    <t>Automated Checks - Data Validation</t>
  </si>
  <si>
    <t>UAT Issue Fixes</t>
  </si>
  <si>
    <t>Integration and Deployment</t>
  </si>
  <si>
    <t>Documentation</t>
  </si>
  <si>
    <t>Project Management</t>
  </si>
  <si>
    <t>FOC</t>
  </si>
  <si>
    <t>Project Management Charges(PM and BAs)</t>
  </si>
  <si>
    <t xml:space="preserve">Infrastructure Charges During Set Up </t>
  </si>
  <si>
    <t>To be paid on actuals</t>
  </si>
  <si>
    <t>Total Estimated Hours</t>
  </si>
  <si>
    <t>Buffer for Contingencies(10%)</t>
  </si>
  <si>
    <t xml:space="preserve">Total Set Up Costs </t>
  </si>
  <si>
    <r>
      <t>*</t>
    </r>
    <r>
      <rPr>
        <sz val="11"/>
        <color rgb="FF000000"/>
        <rFont val="Aptos Narrow"/>
      </rPr>
      <t xml:space="preserve"> Note :Costs will be impacted if scraper schedule changes to daily/ monthly or any other custom schedule</t>
    </r>
  </si>
  <si>
    <t>Infrastructure Details</t>
  </si>
  <si>
    <t>Infrastructire Charges During POC</t>
  </si>
  <si>
    <t>Cost(Azure and third party services)</t>
  </si>
  <si>
    <t>Cost (Project Duration - 8 weeks)</t>
  </si>
  <si>
    <t>Task</t>
  </si>
  <si>
    <t>Analysis (Hours)</t>
  </si>
  <si>
    <t>Development (Hours)</t>
  </si>
  <si>
    <t>Testing (Hours)</t>
  </si>
  <si>
    <t>Total Hours</t>
  </si>
  <si>
    <t>Details</t>
  </si>
  <si>
    <t>Proxy Services</t>
  </si>
  <si>
    <t>Region specific proxies</t>
  </si>
  <si>
    <t>Will be billed on actuals</t>
  </si>
  <si>
    <t>1. Scale Tweet Collection Script</t>
  </si>
  <si>
    <t>Optimize pagination, rate handling for 50K volume; integrate Apify for efficiency</t>
  </si>
  <si>
    <t>Virtual Machine(Ubuntu)</t>
  </si>
  <si>
    <t>B4as v2: 4 vCPUs, 16 GB RAM, 0 GB Temporary storage, £0.127/hour</t>
  </si>
  <si>
    <t>2. Enhance Database for Larger Scale</t>
  </si>
  <si>
    <t>Add partitioning/indexes for 25x data growth; handle storage for 50K inserts</t>
  </si>
  <si>
    <t>DataBase</t>
  </si>
  <si>
    <t>D Series, 4 vCore, £0.2955/hour</t>
  </si>
  <si>
    <t>3. Data Processing Pipeline Enhancements</t>
  </si>
  <si>
    <t>Improve URL/link extraction, deduplication for higher throughput</t>
  </si>
  <si>
    <t>Storage</t>
  </si>
  <si>
    <t>4. Implement Airflow Workflow</t>
  </si>
  <si>
    <t>Set up DAGs for scheduling, error retries, and full E2E pipeline</t>
  </si>
  <si>
    <t>Backup</t>
  </si>
  <si>
    <t>5. Proxy &amp; Infra Configuration</t>
  </si>
  <si>
    <t>Integrate/add proxies; configure VM for production</t>
  </si>
  <si>
    <t>Twitter Subscription and Apify</t>
  </si>
  <si>
    <t>Subscription cost</t>
  </si>
  <si>
    <t>6. Advanced Monitoring &amp; Logging</t>
  </si>
  <si>
    <t>Enhance alerts, integrate with Airflow for large runs</t>
  </si>
  <si>
    <t>Serper(Open Search)</t>
  </si>
  <si>
    <t>7. End-to-End Integration &amp; Optimization</t>
  </si>
  <si>
    <t>Tune for BAU; performance testing at 50K scale</t>
  </si>
  <si>
    <t>Linkedin Post Scraping - Subscription</t>
  </si>
  <si>
    <t>TOTAL</t>
  </si>
  <si>
    <t>AI/ML Infra</t>
  </si>
  <si>
    <t>GPU Machine</t>
  </si>
  <si>
    <t>Open AI Key</t>
  </si>
  <si>
    <t>Total Monthly Cost</t>
  </si>
  <si>
    <t>Cost(Azure and third party services) Per Month</t>
  </si>
  <si>
    <t>Change in Infra</t>
  </si>
  <si>
    <t>150 Sources(Media sites, land registries, company websites, compatitor website)
1. Key media sources – state level business publications / magazines and country level newspapers / magazines (US only) and not exceeding 15 URLs
2. Key competitor websites (not more than 3) to be screened for identifying relevant posts
3. Land registry extraction covering 5 US states (to be suggested by DCB) – Merit recommendation for 5 states : Virginia, Texas, Arizona, Georgia, Ohio</t>
  </si>
  <si>
    <t>A. Design, Development and Deployment of Solution </t>
  </si>
  <si>
    <t>Project Task / Activity Description :</t>
  </si>
  <si>
    <t>Cost per Hour</t>
  </si>
  <si>
    <t>Remarks</t>
  </si>
  <si>
    <t>Analysis and planning</t>
  </si>
  <si>
    <t>Source articles analysis and Domain knowledge gathering</t>
  </si>
  <si>
    <t>Walkthrough and workshop sessions</t>
  </si>
  <si>
    <t>Internal DB schema design</t>
  </si>
  <si>
    <t>Scraper - Planning, Design and System Set-up </t>
  </si>
  <si>
    <t>Scraper - Generic Framework</t>
  </si>
  <si>
    <t>100 Sources(Media sites, land registries, company websites, compatitor website)
1. Key media sources – state level business publications / magazines and country level newspapers / magazines (US only) and not exceeding 15 URLs
2. Key competitor websites (not more than 3) to be screened for identifying relevant posts
3. Land registry extraction covering 5 US states (to be suggested by DCB) – Merit recommendation for 5 states : Virginia, Texas, Arizona, Georgia, Ohio</t>
  </si>
  <si>
    <t>Classifier</t>
  </si>
  <si>
    <t>Bifurcation of land sales real estate transactions from other press releases</t>
  </si>
  <si>
    <t>Classification of land sales made for building datacentres</t>
  </si>
  <si>
    <t>Testing and Analysis - Classifier</t>
  </si>
  <si>
    <t>Semantic Grouping or Deduplication</t>
  </si>
  <si>
    <t>Deduplicate the same land sales</t>
  </si>
  <si>
    <t>Testing and Analysis - Semantic Deduplication</t>
  </si>
  <si>
    <t>Data Mining</t>
  </si>
  <si>
    <t>Refer to the source to extract mentioned datapoints</t>
  </si>
  <si>
    <t>Extract remaining datapoints from LinkedIn</t>
  </si>
  <si>
    <t>Testing and Analysis - Data Extracted</t>
  </si>
  <si>
    <t>Scraper - Data Transformation, Logging, Alerts, Reports and Delivery</t>
  </si>
  <si>
    <t>Scraper - UAT Issue Fixes</t>
  </si>
  <si>
    <t>Scraper - Integration and Deployment</t>
  </si>
  <si>
    <t>Export the data into Excel</t>
  </si>
  <si>
    <t>Export the required datapoints in a proper Excel format</t>
  </si>
  <si>
    <t>Testing</t>
  </si>
  <si>
    <t>Scraper testing</t>
  </si>
  <si>
    <t>Data quality</t>
  </si>
  <si>
    <t>Project Management hours</t>
  </si>
  <si>
    <t>Project manger</t>
  </si>
  <si>
    <t>Business Analyst</t>
  </si>
  <si>
    <t>Infra Cost</t>
  </si>
  <si>
    <t>Infrastructure</t>
  </si>
  <si>
    <t>Virtual Machine</t>
  </si>
  <si>
    <t>OpenAI Cost</t>
  </si>
  <si>
    <t>Scraper</t>
  </si>
  <si>
    <t>Cost for 8 weeks</t>
  </si>
  <si>
    <t>Total Cost (AI/ML + Scraping)</t>
  </si>
  <si>
    <t>B. In-scope and Out-of-scope covered during the PoC Phase</t>
  </si>
  <si>
    <t>In-Scope for the PoC</t>
  </si>
  <si>
    <t>Coverage limited to four U.S. states</t>
  </si>
  <si>
    <t>Articles with English language</t>
  </si>
  <si>
    <t>Data extraction from the first 10 pages of Google search results (10 links per page)</t>
  </si>
  <si>
    <t>Additional data extraction from LinkedIn, besides the source article and Google search</t>
  </si>
  <si>
    <t>Out of Scope for the PoC</t>
  </si>
  <si>
    <t>Markets operating in non-English languages</t>
  </si>
  <si>
    <t>Transactions involving currencies other than USD</t>
  </si>
  <si>
    <t>Data extraction from PDF documents</t>
  </si>
  <si>
    <t>Unit/Currency conversions or normalization</t>
  </si>
  <si>
    <t>Matching transactions with existing facilities</t>
  </si>
  <si>
    <t>Points to be noted</t>
  </si>
  <si>
    <t>For a one-time PoC delivery, incremental updates will be applicable based on manual comprison of results derived against each run (only for the agreed duration of the POC). During which we will flag updated articles by comparing transaction dates against existing database entries.</t>
  </si>
  <si>
    <t>Given the limited scope of the PoC, the timeline for a full-scale implementation is expected to be approximately 5-8 times longer than the PoC delivery duration with 2 - 3 times the team size.</t>
  </si>
  <si>
    <t xml:space="preserve">Description </t>
  </si>
  <si>
    <t xml:space="preserve">Cost </t>
  </si>
  <si>
    <t xml:space="preserve">Comments </t>
  </si>
  <si>
    <t xml:space="preserve">Discovery, Analysis and Planning </t>
  </si>
  <si>
    <t>Solution Design and System Set up</t>
  </si>
  <si>
    <t>ScrapeX configuration, Custom Scraper Development  - c180 sources</t>
  </si>
  <si>
    <t xml:space="preserve">Refer Appendix I - V for the full list of sources </t>
  </si>
  <si>
    <t>AI/ML solution using KIAA framework - classifier, semantic de-duping, data mining</t>
  </si>
  <si>
    <t>Solution Testing /QA (Tech)</t>
  </si>
  <si>
    <t xml:space="preserve">Solution Integration and Deployment </t>
  </si>
  <si>
    <t xml:space="preserve">Documentation </t>
  </si>
  <si>
    <t xml:space="preserve">Project Management </t>
  </si>
  <si>
    <t>Total Solution Customisation and Set Up Costs</t>
  </si>
  <si>
    <t xml:space="preserve">Manual Resource Cost - 2 FTEs </t>
  </si>
  <si>
    <t xml:space="preserve">Total Infra Costs </t>
  </si>
  <si>
    <t xml:space="preserve">Costs for 8 weeks - Refer Appendix VI for Infra Details </t>
  </si>
  <si>
    <t xml:space="preserve">Total Cost of POC </t>
  </si>
  <si>
    <t>ScrapeX configuration, Custom Scraper Development  - c2000 sources</t>
  </si>
  <si>
    <t xml:space="preserve">Automated Validation Checks </t>
  </si>
  <si>
    <t>Total Solution Set Up / Configuration Costs</t>
  </si>
  <si>
    <t xml:space="preserve">Manual Resource Cost - 3 FTEs </t>
  </si>
  <si>
    <t xml:space="preserve">Costs for X months - Refer Appendix VI for Infra Details </t>
  </si>
  <si>
    <t xml:space="preserve">Recurring Monthly BAU Cost </t>
  </si>
  <si>
    <t xml:space="preserve">Licensing Cost </t>
  </si>
  <si>
    <t>Estimated Infra Cost (charged on actuals)</t>
  </si>
  <si>
    <t>XXX</t>
  </si>
  <si>
    <t>Description</t>
  </si>
  <si>
    <t>Tools/Code</t>
  </si>
  <si>
    <t>Validation Layer of Article Based on Region</t>
  </si>
  <si>
    <t>Initiate Scraping</t>
  </si>
  <si>
    <t>Start the pipeline with keyword(s) or a batch of queries.</t>
  </si>
  <si>
    <t>Python</t>
  </si>
  <si>
    <t>Open Search</t>
  </si>
  <si>
    <t>Keyword Search on Google</t>
  </si>
  <si>
    <t>SearXNG/SerpAPI</t>
  </si>
  <si>
    <t>Buyer-Based Search</t>
  </si>
  <si>
    <t>Source-Based Monitoring</t>
  </si>
  <si>
    <t>Registry-Based Search</t>
  </si>
  <si>
    <t>Classifier Component – Classify Articles into Data Center vs Non-Data Center</t>
  </si>
  <si>
    <t>Pre-train a classifier on labeled dataset</t>
  </si>
  <si>
    <t>scikit-learn, transformers (HuggingFace)/ zero shot or few shot learning</t>
  </si>
  <si>
    <t>Use transformers (all-MiniLM-L6-v2) or rule-based + keyword hybrid.</t>
  </si>
  <si>
    <t>Open and Download Article</t>
  </si>
  <si>
    <t>After filtering, download HTML</t>
  </si>
  <si>
    <t>Convert to raw text.</t>
  </si>
  <si>
    <t>Handle duplicates and store source metadata.</t>
  </si>
  <si>
    <t>Use regex/NER/LLM to identify region mentions</t>
  </si>
  <si>
    <t>LLM/Regex/Spaacy</t>
  </si>
  <si>
    <t>If US region → keep; else discard.</t>
  </si>
  <si>
    <t>Extract Required Data Points Using LLM</t>
  </si>
  <si>
    <t>Define structured fields</t>
  </si>
  <si>
    <t>langchain/llama</t>
  </si>
  <si>
    <t>Pass cleaned article text into LLM prompt template</t>
  </si>
  <si>
    <t>Model: gpt-4o-mini, gpt-4, or local LLM (Llama 3, Mistral)</t>
  </si>
  <si>
    <t>Ensure structured JSON-like output.</t>
  </si>
  <si>
    <t>Use RAG (e.g., ChromaDB) for better accuracy if documents are long.</t>
  </si>
  <si>
    <t>Parse Output</t>
  </si>
  <si>
    <t>Validate JSON schema with pydantic</t>
  </si>
  <si>
    <t>pydantic, jsonschema</t>
  </si>
  <si>
    <t>Normalize addresses, dates, funding amounts</t>
  </si>
  <si>
    <t>dateparser</t>
  </si>
  <si>
    <t>Store in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</si>
</sst>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Red]\-&quot;£&quot;#,##0.00"/>
    <numFmt numFmtId="165" formatCode="[$£-809]#,##0.00"/>
  </numFmts>
  <fonts count="27">
    <font>
      <sz val="11"/>
      <color theme="1"/>
      <name val="Aptos Narrow"/>
      <charset val="134"/>
      <scheme val="minor"/>
    </font>
    <font>
      <sz val="11"/>
      <color theme="1"/>
      <name val="Aptos Narrow"/>
      <family val="2"/>
      <scheme val="minor"/>
    </font>
    <font>
      <sz val="11"/>
      <color rgb="FF000000"/>
      <name val="Calibri"/>
      <charset val="134"/>
    </font>
    <font>
      <b/>
      <sz val="11"/>
      <color rgb="FFFFFFFF"/>
      <name val="Aptos Narrow"/>
      <charset val="134"/>
      <scheme val="minor"/>
    </font>
    <font>
      <sz val="11"/>
      <color rgb="FF000000"/>
      <name val="Aptos Narrow"/>
      <charset val="134"/>
      <scheme val="minor"/>
    </font>
    <font>
      <b/>
      <sz val="11"/>
      <color rgb="FF000000"/>
      <name val="Aptos Narrow"/>
      <charset val="134"/>
      <scheme val="minor"/>
    </font>
    <font>
      <sz val="11"/>
      <color rgb="FF242424"/>
      <name val="Aptos Narrow"/>
      <charset val="134"/>
      <scheme val="minor"/>
    </font>
    <font>
      <sz val="11"/>
      <color rgb="FF242424"/>
      <name val="Calibri"/>
      <charset val="134"/>
    </font>
    <font>
      <b/>
      <sz val="11"/>
      <color theme="1"/>
      <name val="Aptos Narrow"/>
      <charset val="134"/>
      <scheme val="minor"/>
    </font>
    <font>
      <sz val="11"/>
      <color theme="1"/>
      <name val="Aptos Narrow"/>
      <charset val="134"/>
      <scheme val="minor"/>
    </font>
    <font>
      <sz val="11"/>
      <color theme="1"/>
      <name val="Aptos Narrow"/>
      <scheme val="minor"/>
    </font>
    <font>
      <b/>
      <sz val="11"/>
      <color theme="1"/>
      <name val="Aptos Narrow"/>
      <scheme val="minor"/>
    </font>
    <font>
      <sz val="11"/>
      <color rgb="FF000000"/>
      <name val="Aptos Narrow"/>
      <scheme val="minor"/>
    </font>
    <font>
      <sz val="11"/>
      <color rgb="FF242424"/>
      <name val="Aptos Narrow"/>
      <scheme val="minor"/>
    </font>
    <font>
      <sz val="10"/>
      <color rgb="FF242424"/>
      <name val="Aptos Narrow"/>
      <scheme val="minor"/>
    </font>
    <font>
      <b/>
      <sz val="20"/>
      <color rgb="FF1F4E78"/>
      <name val="Aptos Narrow"/>
    </font>
    <font>
      <sz val="11"/>
      <color rgb="FF000000"/>
      <name val="Aptos Narrow"/>
    </font>
    <font>
      <b/>
      <sz val="11"/>
      <color rgb="FFFFFFFF"/>
      <name val="Aptos Narrow"/>
    </font>
    <font>
      <b/>
      <sz val="11"/>
      <color rgb="FF000000"/>
      <name val="Aptos Narrow"/>
    </font>
    <font>
      <sz val="11"/>
      <color rgb="FFC00000"/>
      <name val="Aptos Narrow"/>
    </font>
    <font>
      <b/>
      <sz val="11"/>
      <color theme="1"/>
      <name val="Calibri"/>
      <family val="2"/>
    </font>
    <font>
      <b/>
      <sz val="11"/>
      <color rgb="FF000000"/>
      <name val="Aptos Narrow"/>
      <family val="2"/>
    </font>
    <font>
      <sz val="11"/>
      <color rgb="FF000000"/>
      <name val="Aptos Narrow"/>
      <family val="2"/>
    </font>
    <font>
      <b/>
      <sz val="16"/>
      <color theme="1"/>
      <name val="Aptos Narrow"/>
      <family val="2"/>
      <scheme val="minor"/>
    </font>
    <font>
      <sz val="11"/>
      <color rgb="FF242424"/>
      <name val="Aptos Narrow"/>
      <charset val="1"/>
    </font>
    <font>
      <sz val="11"/>
      <color theme="0"/>
      <name val="Aptos Narrow"/>
      <charset val="134"/>
      <scheme val="minor"/>
    </font>
    <font>
      <sz val="10"/>
      <color theme="0"/>
      <name val="Aptos Narrow"/>
      <scheme val="minor"/>
    </font>
  </fonts>
  <fills count="22">
    <fill>
      <patternFill patternType="none"/>
    </fill>
    <fill>
      <patternFill patternType="gray125"/>
    </fill>
    <fill>
      <patternFill patternType="solid">
        <fgColor rgb="FF2F75B5"/>
        <bgColor rgb="FF000000"/>
      </patternFill>
    </fill>
    <fill>
      <patternFill patternType="solid">
        <fgColor rgb="FFDDEBF7"/>
        <bgColor rgb="FF000000"/>
      </patternFill>
    </fill>
    <fill>
      <patternFill patternType="solid">
        <fgColor theme="0"/>
        <bgColor rgb="FF000000"/>
      </patternFill>
    </fill>
    <fill>
      <patternFill patternType="solid">
        <fgColor rgb="FFFFFFFF"/>
        <bgColor rgb="FF000000"/>
      </patternFill>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rgb="FF579A9E"/>
        <bgColor rgb="FF000000"/>
      </patternFill>
    </fill>
    <fill>
      <patternFill patternType="solid">
        <fgColor rgb="FF1F4E78"/>
        <bgColor rgb="FF000000"/>
      </patternFill>
    </fill>
    <fill>
      <patternFill patternType="solid">
        <fgColor rgb="FFAEAAAA"/>
        <bgColor rgb="FF000000"/>
      </patternFill>
    </fill>
    <fill>
      <patternFill patternType="solid">
        <fgColor rgb="FFF7C7AC"/>
        <bgColor rgb="FF000000"/>
      </patternFill>
    </fill>
    <fill>
      <patternFill patternType="solid">
        <fgColor rgb="FFC0E6F5"/>
        <bgColor rgb="FF000000"/>
      </patternFill>
    </fill>
    <fill>
      <patternFill patternType="solid">
        <fgColor rgb="FFADADAD"/>
        <bgColor rgb="FF000000"/>
      </patternFill>
    </fill>
    <fill>
      <patternFill patternType="solid">
        <fgColor theme="5" tint="0.59999389629810485"/>
        <bgColor rgb="FF000000"/>
      </patternFill>
    </fill>
    <fill>
      <patternFill patternType="solid">
        <fgColor theme="5" tint="0.59999389629810485"/>
        <bgColor indexed="64"/>
      </patternFill>
    </fill>
    <fill>
      <patternFill patternType="solid">
        <fgColor theme="0" tint="-0.14999847407452621"/>
        <bgColor indexed="64"/>
      </patternFill>
    </fill>
    <fill>
      <patternFill patternType="solid">
        <fgColor theme="4" tint="-0.499984740745262"/>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rgb="FFFF0000"/>
        <bgColor indexed="64"/>
      </patternFill>
    </fill>
  </fills>
  <borders count="73">
    <border>
      <left/>
      <right/>
      <top/>
      <bottom/>
      <diagonal/>
    </border>
    <border>
      <left style="medium">
        <color rgb="FFD1D1D1"/>
      </left>
      <right style="medium">
        <color rgb="FFD1D1D1"/>
      </right>
      <top style="medium">
        <color rgb="FFD1D1D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theme="0" tint="-0.14993743705557422"/>
      </top>
      <bottom style="medium">
        <color theme="0" tint="-0.14993743705557422"/>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rgb="FF000000"/>
      </right>
      <top style="medium">
        <color indexed="64"/>
      </top>
      <bottom style="thin">
        <color rgb="FF000000"/>
      </bottom>
      <diagonal/>
    </border>
    <border>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rgb="FF000000"/>
      </right>
      <top/>
      <bottom/>
      <diagonal/>
    </border>
    <border>
      <left/>
      <right style="thin">
        <color indexed="64"/>
      </right>
      <top style="thin">
        <color indexed="64"/>
      </top>
      <bottom/>
      <diagonal/>
    </border>
    <border>
      <left/>
      <right style="thin">
        <color rgb="FF000000"/>
      </right>
      <top style="thin">
        <color rgb="FF000000"/>
      </top>
      <bottom/>
      <diagonal/>
    </border>
    <border>
      <left/>
      <right style="medium">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bottom style="thin">
        <color rgb="FF000000"/>
      </bottom>
      <diagonal/>
    </border>
    <border>
      <left/>
      <right style="medium">
        <color rgb="FF000000"/>
      </right>
      <top/>
      <bottom style="thin">
        <color indexed="64"/>
      </bottom>
      <diagonal/>
    </border>
    <border>
      <left/>
      <right style="medium">
        <color rgb="FF000000"/>
      </right>
      <top/>
      <bottom/>
      <diagonal/>
    </border>
    <border>
      <left style="medium">
        <color rgb="FF000000"/>
      </left>
      <right style="thin">
        <color indexed="64"/>
      </right>
      <top/>
      <bottom style="thin">
        <color indexed="64"/>
      </bottom>
      <diagonal/>
    </border>
    <border>
      <left style="medium">
        <color rgb="FF000000"/>
      </left>
      <right style="thin">
        <color indexed="64"/>
      </right>
      <top/>
      <bottom style="medium">
        <color rgb="FF000000"/>
      </bottom>
      <diagonal/>
    </border>
    <border>
      <left/>
      <right style="thin">
        <color indexed="64"/>
      </right>
      <top/>
      <bottom style="medium">
        <color rgb="FF000000"/>
      </bottom>
      <diagonal/>
    </border>
    <border>
      <left/>
      <right style="medium">
        <color rgb="FF000000"/>
      </right>
      <top/>
      <bottom style="medium">
        <color rgb="FF000000"/>
      </bottom>
      <diagonal/>
    </border>
    <border>
      <left style="medium">
        <color indexed="64"/>
      </left>
      <right style="thin">
        <color rgb="FF000000"/>
      </right>
      <top/>
      <bottom style="thin">
        <color rgb="FF000000"/>
      </bottom>
      <diagonal/>
    </border>
    <border>
      <left/>
      <right style="medium">
        <color indexed="64"/>
      </right>
      <top/>
      <bottom style="thin">
        <color rgb="FF000000"/>
      </bottom>
      <diagonal/>
    </border>
    <border>
      <left style="medium">
        <color indexed="64"/>
      </left>
      <right style="thin">
        <color indexed="64"/>
      </right>
      <top/>
      <bottom style="medium">
        <color indexed="64"/>
      </bottom>
      <diagonal/>
    </border>
    <border>
      <left/>
      <right style="thin">
        <color rgb="FF000000"/>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rgb="FF000000"/>
      </right>
      <top/>
      <bottom/>
      <diagonal/>
    </border>
    <border>
      <left style="medium">
        <color indexed="64"/>
      </left>
      <right/>
      <top/>
      <bottom style="medium">
        <color indexed="64"/>
      </bottom>
      <diagonal/>
    </border>
    <border>
      <left style="thin">
        <color rgb="FF000000"/>
      </left>
      <right style="thin">
        <color rgb="FF000000"/>
      </right>
      <top/>
      <bottom style="medium">
        <color indexed="64"/>
      </bottom>
      <diagonal/>
    </border>
    <border>
      <left/>
      <right style="medium">
        <color rgb="FF000000"/>
      </right>
      <top/>
      <bottom style="thin">
        <color rgb="FF000000"/>
      </bottom>
      <diagonal/>
    </border>
    <border>
      <left/>
      <right/>
      <top style="thin">
        <color rgb="FF000000"/>
      </top>
      <bottom style="thin">
        <color rgb="FF000000"/>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top/>
      <bottom/>
      <diagonal/>
    </border>
    <border>
      <left style="medium">
        <color rgb="FF000000"/>
      </left>
      <right style="thin">
        <color indexed="64"/>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thin">
        <color rgb="FF000000"/>
      </top>
      <bottom/>
      <diagonal/>
    </border>
    <border>
      <left style="thin">
        <color rgb="FF000000"/>
      </left>
      <right/>
      <top style="thin">
        <color rgb="FF000000"/>
      </top>
      <bottom/>
      <diagonal/>
    </border>
    <border>
      <left/>
      <right/>
      <top/>
      <bottom style="thin">
        <color indexed="64"/>
      </bottom>
      <diagonal/>
    </border>
    <border>
      <left/>
      <right/>
      <top/>
      <bottom style="medium">
        <color rgb="FF000000"/>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s>
  <cellStyleXfs count="2">
    <xf numFmtId="0" fontId="0" fillId="0" borderId="0"/>
    <xf numFmtId="0" fontId="9" fillId="0" borderId="8" applyFill="0">
      <alignment horizontal="center" vertical="center"/>
    </xf>
  </cellStyleXfs>
  <cellXfs count="236">
    <xf numFmtId="0" fontId="0" fillId="0" borderId="0" xfId="0"/>
    <xf numFmtId="0" fontId="0" fillId="0" borderId="0" xfId="0" applyAlignment="1">
      <alignment wrapText="1"/>
    </xf>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horizontal="left"/>
    </xf>
    <xf numFmtId="0" fontId="3" fillId="2" borderId="1" xfId="0" applyFont="1" applyFill="1" applyBorder="1" applyAlignment="1">
      <alignment horizontal="left" vertical="center" wrapText="1"/>
    </xf>
    <xf numFmtId="0" fontId="4" fillId="2" borderId="0" xfId="0" applyFont="1" applyFill="1" applyAlignment="1">
      <alignment horizontal="left"/>
    </xf>
    <xf numFmtId="0" fontId="4" fillId="2" borderId="2" xfId="0" applyFont="1" applyFill="1" applyBorder="1" applyAlignment="1">
      <alignment horizontal="left"/>
    </xf>
    <xf numFmtId="0" fontId="5" fillId="3" borderId="2" xfId="0" applyFont="1" applyFill="1" applyBorder="1" applyAlignment="1">
      <alignment horizontal="left"/>
    </xf>
    <xf numFmtId="0" fontId="5" fillId="3" borderId="3" xfId="0" applyFont="1" applyFill="1" applyBorder="1" applyAlignment="1">
      <alignment horizontal="left"/>
    </xf>
    <xf numFmtId="0" fontId="4" fillId="4" borderId="2" xfId="0" applyFont="1" applyFill="1" applyBorder="1" applyAlignment="1">
      <alignment horizontal="left"/>
    </xf>
    <xf numFmtId="0" fontId="6" fillId="5" borderId="2" xfId="0" applyFont="1" applyFill="1" applyBorder="1" applyAlignment="1">
      <alignment horizontal="left" vertical="center" wrapText="1"/>
    </xf>
    <xf numFmtId="0" fontId="0" fillId="0" borderId="2" xfId="0" applyBorder="1" applyAlignment="1">
      <alignment horizontal="left"/>
    </xf>
    <xf numFmtId="0" fontId="0" fillId="0" borderId="2" xfId="0" applyBorder="1" applyAlignment="1">
      <alignment horizontal="left" wrapText="1"/>
    </xf>
    <xf numFmtId="0" fontId="7" fillId="6" borderId="2" xfId="0" applyFont="1" applyFill="1" applyBorder="1" applyAlignment="1">
      <alignment horizontal="left" vertical="center" wrapText="1" readingOrder="1"/>
    </xf>
    <xf numFmtId="0" fontId="6" fillId="4" borderId="2" xfId="0" applyFont="1" applyFill="1" applyBorder="1" applyAlignment="1">
      <alignment horizontal="left" vertical="center" wrapText="1"/>
    </xf>
    <xf numFmtId="0" fontId="5" fillId="3" borderId="5" xfId="0" applyFont="1" applyFill="1" applyBorder="1" applyAlignment="1">
      <alignment horizontal="left"/>
    </xf>
    <xf numFmtId="0" fontId="9" fillId="0" borderId="5" xfId="0" applyFont="1" applyBorder="1"/>
    <xf numFmtId="0" fontId="8" fillId="7" borderId="4" xfId="0" applyFont="1" applyFill="1" applyBorder="1" applyAlignment="1">
      <alignment horizontal="left"/>
    </xf>
    <xf numFmtId="0" fontId="9" fillId="0" borderId="0" xfId="0" applyFont="1"/>
    <xf numFmtId="0" fontId="9" fillId="0" borderId="2" xfId="0" applyFont="1" applyBorder="1"/>
    <xf numFmtId="0" fontId="5" fillId="3" borderId="4" xfId="0" applyFont="1" applyFill="1" applyBorder="1" applyAlignment="1">
      <alignment horizontal="left"/>
    </xf>
    <xf numFmtId="0" fontId="5" fillId="0" borderId="2" xfId="0" applyFont="1" applyBorder="1" applyAlignment="1">
      <alignment horizontal="left"/>
    </xf>
    <xf numFmtId="0" fontId="5" fillId="0" borderId="3" xfId="0" applyFont="1" applyBorder="1" applyAlignment="1">
      <alignment horizontal="left"/>
    </xf>
    <xf numFmtId="0" fontId="12" fillId="4" borderId="2" xfId="0" applyFont="1" applyFill="1" applyBorder="1" applyAlignment="1">
      <alignment horizontal="left"/>
    </xf>
    <xf numFmtId="164" fontId="12" fillId="0" borderId="2" xfId="0" applyNumberFormat="1" applyFont="1" applyBorder="1" applyAlignment="1">
      <alignment horizontal="left" vertical="center" readingOrder="1"/>
    </xf>
    <xf numFmtId="0" fontId="13" fillId="0" borderId="2" xfId="0" applyFont="1" applyBorder="1" applyAlignment="1">
      <alignment horizontal="left" vertical="center" wrapText="1"/>
    </xf>
    <xf numFmtId="0" fontId="13" fillId="5" borderId="2" xfId="0" applyFont="1" applyFill="1" applyBorder="1" applyAlignment="1">
      <alignment horizontal="left" vertical="center" wrapText="1"/>
    </xf>
    <xf numFmtId="0" fontId="10" fillId="0" borderId="0" xfId="0" applyFont="1" applyAlignment="1">
      <alignment horizontal="left"/>
    </xf>
    <xf numFmtId="0" fontId="12" fillId="0" borderId="2" xfId="0" applyFont="1" applyBorder="1" applyAlignment="1">
      <alignment horizontal="left" vertical="center" readingOrder="1"/>
    </xf>
    <xf numFmtId="165" fontId="13" fillId="5" borderId="2" xfId="0" applyNumberFormat="1" applyFont="1" applyFill="1" applyBorder="1" applyAlignment="1">
      <alignment horizontal="center"/>
    </xf>
    <xf numFmtId="165" fontId="11" fillId="0" borderId="4" xfId="0" applyNumberFormat="1" applyFont="1" applyBorder="1" applyAlignment="1">
      <alignment horizontal="left"/>
    </xf>
    <xf numFmtId="164" fontId="12" fillId="0" borderId="2" xfId="0" applyNumberFormat="1" applyFont="1" applyBorder="1" applyAlignment="1">
      <alignment horizontal="left"/>
    </xf>
    <xf numFmtId="0" fontId="12" fillId="0" borderId="2" xfId="0" applyFont="1" applyBorder="1" applyAlignment="1">
      <alignment horizontal="left"/>
    </xf>
    <xf numFmtId="0" fontId="11" fillId="7" borderId="2" xfId="0" applyFont="1" applyFill="1" applyBorder="1" applyAlignment="1">
      <alignment horizontal="left"/>
    </xf>
    <xf numFmtId="164" fontId="11" fillId="7" borderId="2" xfId="0" applyNumberFormat="1" applyFont="1" applyFill="1" applyBorder="1" applyAlignment="1">
      <alignment horizontal="left"/>
    </xf>
    <xf numFmtId="0" fontId="10" fillId="0" borderId="5" xfId="0" applyFont="1" applyBorder="1"/>
    <xf numFmtId="0" fontId="11" fillId="7" borderId="4" xfId="0" applyFont="1" applyFill="1" applyBorder="1" applyAlignment="1">
      <alignment horizontal="left"/>
    </xf>
    <xf numFmtId="164" fontId="11" fillId="7" borderId="4" xfId="0" applyNumberFormat="1" applyFont="1" applyFill="1" applyBorder="1" applyAlignment="1">
      <alignment horizontal="left"/>
    </xf>
    <xf numFmtId="0" fontId="10" fillId="0" borderId="0" xfId="0" applyFont="1"/>
    <xf numFmtId="0" fontId="10" fillId="0" borderId="2" xfId="0" applyFont="1" applyBorder="1"/>
    <xf numFmtId="0" fontId="3" fillId="2" borderId="5" xfId="0" applyFont="1" applyFill="1" applyBorder="1" applyAlignment="1">
      <alignment horizontal="left" vertical="center" wrapText="1"/>
    </xf>
    <xf numFmtId="0" fontId="0" fillId="0" borderId="5" xfId="0" applyBorder="1"/>
    <xf numFmtId="0" fontId="0" fillId="0" borderId="5" xfId="0" applyBorder="1" applyAlignment="1">
      <alignment horizontal="left" wrapText="1"/>
    </xf>
    <xf numFmtId="0" fontId="4" fillId="0" borderId="0" xfId="0" applyFont="1" applyAlignment="1">
      <alignment horizontal="left"/>
    </xf>
    <xf numFmtId="0" fontId="5" fillId="0" borderId="0" xfId="0" applyFont="1" applyAlignment="1">
      <alignment horizontal="left"/>
    </xf>
    <xf numFmtId="0" fontId="8" fillId="7" borderId="2" xfId="0" applyFont="1" applyFill="1" applyBorder="1" applyAlignment="1">
      <alignment horizontal="left"/>
    </xf>
    <xf numFmtId="0" fontId="0" fillId="0" borderId="5" xfId="0" applyBorder="1" applyAlignment="1">
      <alignment horizontal="left"/>
    </xf>
    <xf numFmtId="165" fontId="14" fillId="5" borderId="10" xfId="0" applyNumberFormat="1" applyFont="1" applyFill="1" applyBorder="1" applyAlignment="1">
      <alignment horizontal="center" wrapText="1"/>
    </xf>
    <xf numFmtId="165" fontId="13" fillId="5" borderId="11" xfId="0" applyNumberFormat="1" applyFont="1" applyFill="1" applyBorder="1" applyAlignment="1">
      <alignment horizontal="center" wrapText="1"/>
    </xf>
    <xf numFmtId="0" fontId="10" fillId="0" borderId="12" xfId="0" applyFont="1" applyBorder="1"/>
    <xf numFmtId="0" fontId="0" fillId="0" borderId="9" xfId="0" applyBorder="1" applyAlignment="1">
      <alignment horizontal="left"/>
    </xf>
    <xf numFmtId="0" fontId="0" fillId="8" borderId="5" xfId="0" applyFill="1" applyBorder="1" applyAlignment="1">
      <alignment horizontal="left"/>
    </xf>
    <xf numFmtId="0" fontId="5" fillId="8" borderId="5" xfId="0" applyFont="1" applyFill="1" applyBorder="1" applyAlignment="1">
      <alignment horizontal="left"/>
    </xf>
    <xf numFmtId="0" fontId="8" fillId="7" borderId="13" xfId="0" applyFont="1" applyFill="1" applyBorder="1" applyAlignment="1">
      <alignment horizontal="left"/>
    </xf>
    <xf numFmtId="0" fontId="11" fillId="7" borderId="14" xfId="0" applyFont="1" applyFill="1" applyBorder="1" applyAlignment="1">
      <alignment horizontal="left"/>
    </xf>
    <xf numFmtId="0" fontId="5" fillId="3" borderId="12" xfId="0" applyFont="1" applyFill="1" applyBorder="1" applyAlignment="1">
      <alignment horizontal="left"/>
    </xf>
    <xf numFmtId="0" fontId="16" fillId="0" borderId="19" xfId="0" applyFont="1" applyBorder="1" applyAlignment="1">
      <alignment wrapText="1"/>
    </xf>
    <xf numFmtId="0" fontId="16" fillId="0" borderId="0" xfId="0" applyFont="1" applyAlignment="1">
      <alignment wrapText="1"/>
    </xf>
    <xf numFmtId="0" fontId="16" fillId="0" borderId="0" xfId="0" applyFont="1"/>
    <xf numFmtId="0" fontId="16" fillId="0" borderId="20" xfId="0" applyFont="1" applyBorder="1"/>
    <xf numFmtId="0" fontId="18" fillId="3" borderId="24" xfId="0" applyFont="1" applyFill="1" applyBorder="1" applyAlignment="1">
      <alignment wrapText="1"/>
    </xf>
    <xf numFmtId="0" fontId="18" fillId="3" borderId="25" xfId="0" applyFont="1" applyFill="1" applyBorder="1" applyAlignment="1">
      <alignment wrapText="1"/>
    </xf>
    <xf numFmtId="0" fontId="18" fillId="3" borderId="25" xfId="0" applyFont="1" applyFill="1" applyBorder="1"/>
    <xf numFmtId="0" fontId="18" fillId="3" borderId="26" xfId="0" applyFont="1" applyFill="1" applyBorder="1"/>
    <xf numFmtId="0" fontId="16" fillId="0" borderId="27" xfId="0" applyFont="1" applyBorder="1"/>
    <xf numFmtId="0" fontId="16" fillId="0" borderId="15" xfId="0" applyFont="1" applyBorder="1"/>
    <xf numFmtId="0" fontId="18" fillId="3" borderId="28" xfId="0" applyFont="1" applyFill="1" applyBorder="1" applyAlignment="1">
      <alignment horizontal="center" vertical="center" wrapText="1"/>
    </xf>
    <xf numFmtId="0" fontId="18" fillId="3" borderId="29" xfId="0" applyFont="1" applyFill="1" applyBorder="1" applyAlignment="1">
      <alignment wrapText="1"/>
    </xf>
    <xf numFmtId="165" fontId="18" fillId="3" borderId="29" xfId="0" applyNumberFormat="1" applyFont="1" applyFill="1" applyBorder="1" applyAlignment="1">
      <alignment horizontal="center"/>
    </xf>
    <xf numFmtId="0" fontId="18" fillId="3" borderId="29" xfId="0" applyFont="1" applyFill="1" applyBorder="1" applyAlignment="1">
      <alignment horizontal="center"/>
    </xf>
    <xf numFmtId="165" fontId="18" fillId="3" borderId="30" xfId="0" applyNumberFormat="1" applyFont="1" applyFill="1" applyBorder="1" applyAlignment="1">
      <alignment horizontal="center"/>
    </xf>
    <xf numFmtId="0" fontId="16" fillId="0" borderId="24" xfId="0" applyFont="1" applyBorder="1" applyAlignment="1">
      <alignment horizontal="center" vertical="center"/>
    </xf>
    <xf numFmtId="0" fontId="16" fillId="0" borderId="25" xfId="0" applyFont="1" applyBorder="1"/>
    <xf numFmtId="165" fontId="16" fillId="0" borderId="10" xfId="0" applyNumberFormat="1" applyFont="1" applyBorder="1" applyAlignment="1">
      <alignment horizontal="center"/>
    </xf>
    <xf numFmtId="0" fontId="16" fillId="0" borderId="25" xfId="0" applyFont="1" applyBorder="1" applyAlignment="1">
      <alignment horizontal="center"/>
    </xf>
    <xf numFmtId="165" fontId="16" fillId="0" borderId="26" xfId="0" applyNumberFormat="1" applyFont="1" applyBorder="1" applyAlignment="1">
      <alignment horizontal="center"/>
    </xf>
    <xf numFmtId="165" fontId="16" fillId="0" borderId="31" xfId="0" applyNumberFormat="1" applyFont="1" applyBorder="1" applyAlignment="1">
      <alignment horizontal="center"/>
    </xf>
    <xf numFmtId="0" fontId="16" fillId="0" borderId="15" xfId="0" applyFont="1" applyBorder="1" applyAlignment="1">
      <alignment horizontal="center"/>
    </xf>
    <xf numFmtId="165" fontId="16" fillId="0" borderId="20" xfId="0" applyNumberFormat="1" applyFont="1" applyBorder="1" applyAlignment="1">
      <alignment horizontal="center"/>
    </xf>
    <xf numFmtId="0" fontId="16" fillId="0" borderId="27" xfId="0" applyFont="1" applyBorder="1" applyAlignment="1">
      <alignment horizontal="center" vertical="center"/>
    </xf>
    <xf numFmtId="0" fontId="16" fillId="0" borderId="32" xfId="0" applyFont="1" applyBorder="1" applyAlignment="1">
      <alignment wrapText="1"/>
    </xf>
    <xf numFmtId="165" fontId="16" fillId="0" borderId="33" xfId="0" applyNumberFormat="1" applyFont="1" applyBorder="1" applyAlignment="1">
      <alignment horizontal="center"/>
    </xf>
    <xf numFmtId="0" fontId="16" fillId="0" borderId="32" xfId="0" applyFont="1" applyBorder="1" applyAlignment="1">
      <alignment horizontal="center" wrapText="1"/>
    </xf>
    <xf numFmtId="165" fontId="16" fillId="0" borderId="34" xfId="0" applyNumberFormat="1" applyFont="1" applyBorder="1" applyAlignment="1">
      <alignment horizontal="center"/>
    </xf>
    <xf numFmtId="0" fontId="18" fillId="3" borderId="35" xfId="0" applyFont="1" applyFill="1" applyBorder="1" applyAlignment="1">
      <alignment horizontal="center" vertical="center" wrapText="1"/>
    </xf>
    <xf numFmtId="0" fontId="18" fillId="3" borderId="36" xfId="0" applyFont="1" applyFill="1" applyBorder="1" applyAlignment="1">
      <alignment wrapText="1"/>
    </xf>
    <xf numFmtId="165" fontId="18" fillId="3" borderId="36" xfId="0" applyNumberFormat="1" applyFont="1" applyFill="1" applyBorder="1" applyAlignment="1">
      <alignment horizontal="center"/>
    </xf>
    <xf numFmtId="0" fontId="18" fillId="3" borderId="36" xfId="0" applyFont="1" applyFill="1" applyBorder="1" applyAlignment="1">
      <alignment horizontal="center"/>
    </xf>
    <xf numFmtId="165" fontId="18" fillId="3" borderId="37" xfId="0" applyNumberFormat="1" applyFont="1" applyFill="1" applyBorder="1" applyAlignment="1">
      <alignment horizontal="center"/>
    </xf>
    <xf numFmtId="165" fontId="16" fillId="0" borderId="38" xfId="0" applyNumberFormat="1" applyFont="1" applyBorder="1" applyAlignment="1">
      <alignment horizontal="center"/>
    </xf>
    <xf numFmtId="0" fontId="16" fillId="0" borderId="4" xfId="0" applyFont="1" applyBorder="1" applyAlignment="1">
      <alignment horizontal="center"/>
    </xf>
    <xf numFmtId="165" fontId="16" fillId="0" borderId="39" xfId="0" applyNumberFormat="1" applyFont="1" applyBorder="1" applyAlignment="1">
      <alignment horizontal="center"/>
    </xf>
    <xf numFmtId="0" fontId="0" fillId="0" borderId="9" xfId="0" applyBorder="1"/>
    <xf numFmtId="165" fontId="16" fillId="0" borderId="0" xfId="0" applyNumberFormat="1" applyFont="1" applyAlignment="1">
      <alignment horizontal="center"/>
    </xf>
    <xf numFmtId="0" fontId="16" fillId="0" borderId="13" xfId="0" applyFont="1" applyBorder="1" applyAlignment="1">
      <alignment horizontal="center"/>
    </xf>
    <xf numFmtId="165" fontId="16" fillId="0" borderId="40" xfId="0" applyNumberFormat="1" applyFont="1" applyBorder="1" applyAlignment="1">
      <alignment horizontal="center"/>
    </xf>
    <xf numFmtId="0" fontId="16" fillId="0" borderId="41" xfId="0" applyFont="1" applyBorder="1" applyAlignment="1">
      <alignment horizontal="center" vertical="center" wrapText="1"/>
    </xf>
    <xf numFmtId="165" fontId="16" fillId="0" borderId="25" xfId="0" applyNumberFormat="1" applyFont="1" applyBorder="1" applyAlignment="1">
      <alignment horizontal="center"/>
    </xf>
    <xf numFmtId="0" fontId="16" fillId="0" borderId="42" xfId="0" applyFont="1" applyBorder="1" applyAlignment="1">
      <alignment horizontal="center" vertical="center" wrapText="1"/>
    </xf>
    <xf numFmtId="0" fontId="16" fillId="0" borderId="43" xfId="0" applyFont="1" applyBorder="1"/>
    <xf numFmtId="165" fontId="16" fillId="0" borderId="43" xfId="0" applyNumberFormat="1" applyFont="1" applyBorder="1" applyAlignment="1">
      <alignment horizontal="center"/>
    </xf>
    <xf numFmtId="0" fontId="16" fillId="0" borderId="43" xfId="0" applyFont="1" applyBorder="1" applyAlignment="1">
      <alignment horizontal="center"/>
    </xf>
    <xf numFmtId="165" fontId="16" fillId="0" borderId="44" xfId="0" applyNumberFormat="1" applyFont="1" applyBorder="1" applyAlignment="1">
      <alignment horizontal="center"/>
    </xf>
    <xf numFmtId="0" fontId="18" fillId="3" borderId="45" xfId="0" applyFont="1" applyFill="1" applyBorder="1" applyAlignment="1">
      <alignment horizontal="center" vertical="center" wrapText="1"/>
    </xf>
    <xf numFmtId="0" fontId="18" fillId="3" borderId="10" xfId="0" applyFont="1" applyFill="1" applyBorder="1" applyAlignment="1">
      <alignment wrapText="1"/>
    </xf>
    <xf numFmtId="165" fontId="18" fillId="3" borderId="10" xfId="0" applyNumberFormat="1" applyFont="1" applyFill="1" applyBorder="1" applyAlignment="1">
      <alignment horizontal="center"/>
    </xf>
    <xf numFmtId="0" fontId="18" fillId="3" borderId="10" xfId="0" applyFont="1" applyFill="1" applyBorder="1" applyAlignment="1">
      <alignment horizontal="center"/>
    </xf>
    <xf numFmtId="165" fontId="18" fillId="3" borderId="46" xfId="0" applyNumberFormat="1" applyFont="1" applyFill="1" applyBorder="1" applyAlignment="1">
      <alignment horizontal="center"/>
    </xf>
    <xf numFmtId="0" fontId="16" fillId="0" borderId="47" xfId="0" applyFont="1" applyBorder="1" applyAlignment="1">
      <alignment horizontal="center" vertical="center"/>
    </xf>
    <xf numFmtId="0" fontId="16" fillId="0" borderId="48" xfId="0" applyFont="1" applyBorder="1" applyAlignment="1">
      <alignment wrapText="1"/>
    </xf>
    <xf numFmtId="165" fontId="16" fillId="0" borderId="49" xfId="0" applyNumberFormat="1" applyFont="1" applyBorder="1" applyAlignment="1">
      <alignment horizontal="center"/>
    </xf>
    <xf numFmtId="0" fontId="16" fillId="0" borderId="49" xfId="0" applyFont="1" applyBorder="1" applyAlignment="1">
      <alignment horizontal="center"/>
    </xf>
    <xf numFmtId="165" fontId="16" fillId="0" borderId="50" xfId="0" applyNumberFormat="1" applyFont="1" applyBorder="1" applyAlignment="1">
      <alignment horizontal="center"/>
    </xf>
    <xf numFmtId="0" fontId="18" fillId="3" borderId="51" xfId="0" applyFont="1" applyFill="1" applyBorder="1" applyAlignment="1">
      <alignment horizontal="center" vertical="center" wrapText="1"/>
    </xf>
    <xf numFmtId="0" fontId="18" fillId="3" borderId="31" xfId="0" applyFont="1" applyFill="1" applyBorder="1" applyAlignment="1">
      <alignment wrapText="1"/>
    </xf>
    <xf numFmtId="165" fontId="18" fillId="3" borderId="31" xfId="0" applyNumberFormat="1" applyFont="1" applyFill="1" applyBorder="1" applyAlignment="1">
      <alignment horizontal="center"/>
    </xf>
    <xf numFmtId="0" fontId="18" fillId="3" borderId="31" xfId="0" applyFont="1" applyFill="1" applyBorder="1" applyAlignment="1">
      <alignment horizontal="center"/>
    </xf>
    <xf numFmtId="165" fontId="18" fillId="3" borderId="10" xfId="0" applyNumberFormat="1" applyFont="1" applyFill="1" applyBorder="1" applyAlignment="1">
      <alignment horizontal="center" wrapText="1"/>
    </xf>
    <xf numFmtId="0" fontId="16" fillId="0" borderId="52" xfId="0" applyFont="1" applyBorder="1" applyAlignment="1">
      <alignment horizontal="center" vertical="center" wrapText="1"/>
    </xf>
    <xf numFmtId="0" fontId="16" fillId="0" borderId="53" xfId="0" applyFont="1" applyBorder="1" applyAlignment="1">
      <alignment wrapText="1"/>
    </xf>
    <xf numFmtId="0" fontId="16" fillId="0" borderId="48" xfId="0" applyFont="1" applyBorder="1" applyAlignment="1">
      <alignment horizontal="center" wrapText="1"/>
    </xf>
    <xf numFmtId="0" fontId="16" fillId="0" borderId="48" xfId="0" applyFont="1" applyBorder="1" applyAlignment="1">
      <alignment horizontal="center"/>
    </xf>
    <xf numFmtId="0" fontId="16" fillId="10" borderId="24" xfId="0" applyFont="1" applyFill="1" applyBorder="1" applyAlignment="1">
      <alignment wrapText="1"/>
    </xf>
    <xf numFmtId="0" fontId="17" fillId="10" borderId="25" xfId="0" applyFont="1" applyFill="1" applyBorder="1" applyAlignment="1">
      <alignment wrapText="1"/>
    </xf>
    <xf numFmtId="0" fontId="17" fillId="10" borderId="25" xfId="0" applyFont="1" applyFill="1" applyBorder="1" applyAlignment="1">
      <alignment horizontal="center"/>
    </xf>
    <xf numFmtId="165" fontId="17" fillId="10" borderId="46" xfId="0" applyNumberFormat="1" applyFont="1" applyFill="1" applyBorder="1" applyAlignment="1">
      <alignment horizontal="center"/>
    </xf>
    <xf numFmtId="165" fontId="17" fillId="10" borderId="54" xfId="0" applyNumberFormat="1" applyFont="1" applyFill="1" applyBorder="1" applyAlignment="1">
      <alignment horizontal="center"/>
    </xf>
    <xf numFmtId="0" fontId="17" fillId="10" borderId="7" xfId="0" applyFont="1" applyFill="1" applyBorder="1" applyAlignment="1">
      <alignment horizontal="center"/>
    </xf>
    <xf numFmtId="0" fontId="16" fillId="11" borderId="47" xfId="0" applyFont="1" applyFill="1" applyBorder="1" applyAlignment="1">
      <alignment wrapText="1"/>
    </xf>
    <xf numFmtId="0" fontId="18" fillId="11" borderId="49" xfId="0" applyFont="1" applyFill="1" applyBorder="1" applyAlignment="1">
      <alignment wrapText="1"/>
    </xf>
    <xf numFmtId="0" fontId="18" fillId="11" borderId="49" xfId="0" applyFont="1" applyFill="1" applyBorder="1" applyAlignment="1">
      <alignment horizontal="center" wrapText="1"/>
    </xf>
    <xf numFmtId="0" fontId="18" fillId="11" borderId="49" xfId="0" applyFont="1" applyFill="1" applyBorder="1" applyAlignment="1">
      <alignment horizontal="center"/>
    </xf>
    <xf numFmtId="165" fontId="18" fillId="11" borderId="50" xfId="0" applyNumberFormat="1" applyFont="1" applyFill="1" applyBorder="1" applyAlignment="1">
      <alignment horizontal="center"/>
    </xf>
    <xf numFmtId="0" fontId="16" fillId="0" borderId="19" xfId="0" applyFont="1" applyBorder="1"/>
    <xf numFmtId="0" fontId="20" fillId="0" borderId="9" xfId="0" applyFont="1" applyBorder="1"/>
    <xf numFmtId="0" fontId="20" fillId="0" borderId="5" xfId="0" applyFont="1" applyBorder="1" applyAlignment="1">
      <alignment horizontal="center" vertical="center"/>
    </xf>
    <xf numFmtId="0" fontId="20" fillId="0" borderId="5" xfId="0" applyFont="1" applyBorder="1" applyAlignment="1">
      <alignment vertical="center"/>
    </xf>
    <xf numFmtId="9" fontId="0" fillId="0" borderId="5" xfId="0" applyNumberFormat="1" applyBorder="1" applyAlignment="1">
      <alignment vertical="center"/>
    </xf>
    <xf numFmtId="0" fontId="0" fillId="0" borderId="5" xfId="0" applyBorder="1" applyAlignment="1">
      <alignment vertical="center"/>
    </xf>
    <xf numFmtId="0" fontId="0" fillId="0" borderId="5" xfId="0" applyBorder="1" applyAlignment="1">
      <alignment horizontal="center"/>
    </xf>
    <xf numFmtId="0" fontId="20" fillId="0" borderId="9" xfId="0" applyFont="1" applyBorder="1" applyAlignment="1">
      <alignment vertical="center"/>
    </xf>
    <xf numFmtId="9" fontId="0" fillId="0" borderId="9" xfId="0" applyNumberFormat="1" applyBorder="1" applyAlignment="1">
      <alignment vertical="center"/>
    </xf>
    <xf numFmtId="0" fontId="0" fillId="0" borderId="9" xfId="0" applyBorder="1" applyAlignment="1">
      <alignment vertical="center" wrapText="1"/>
    </xf>
    <xf numFmtId="0" fontId="0" fillId="0" borderId="9" xfId="0" applyBorder="1" applyAlignment="1">
      <alignment horizontal="center"/>
    </xf>
    <xf numFmtId="0" fontId="18" fillId="3" borderId="25" xfId="0" applyFont="1" applyFill="1" applyBorder="1" applyAlignment="1">
      <alignment horizontal="center" vertical="center"/>
    </xf>
    <xf numFmtId="0" fontId="16" fillId="0" borderId="25" xfId="0" applyFont="1" applyBorder="1" applyAlignment="1">
      <alignment wrapText="1"/>
    </xf>
    <xf numFmtId="0" fontId="16" fillId="0" borderId="41" xfId="0" applyFont="1" applyBorder="1" applyAlignment="1">
      <alignment horizontal="center" vertical="center"/>
    </xf>
    <xf numFmtId="0" fontId="18" fillId="3" borderId="41" xfId="0" applyFont="1" applyFill="1" applyBorder="1" applyAlignment="1">
      <alignment horizontal="center" vertical="center"/>
    </xf>
    <xf numFmtId="0" fontId="18" fillId="3" borderId="39" xfId="0" applyFont="1" applyFill="1" applyBorder="1" applyAlignment="1">
      <alignment horizontal="center" vertical="center"/>
    </xf>
    <xf numFmtId="0" fontId="16" fillId="13" borderId="39" xfId="0" applyFont="1" applyFill="1" applyBorder="1" applyAlignment="1">
      <alignment wrapText="1"/>
    </xf>
    <xf numFmtId="0" fontId="16" fillId="13" borderId="44" xfId="0" applyFont="1" applyFill="1" applyBorder="1" applyAlignment="1">
      <alignment wrapText="1"/>
    </xf>
    <xf numFmtId="0" fontId="8" fillId="0" borderId="0" xfId="0" applyFont="1"/>
    <xf numFmtId="165" fontId="0" fillId="0" borderId="0" xfId="0" applyNumberFormat="1"/>
    <xf numFmtId="0" fontId="0" fillId="0" borderId="5" xfId="0" applyBorder="1" applyAlignment="1">
      <alignment horizontal="left" vertical="top" wrapText="1"/>
    </xf>
    <xf numFmtId="0" fontId="0" fillId="0" borderId="7" xfId="0" applyBorder="1" applyAlignment="1">
      <alignment vertical="top" wrapText="1"/>
    </xf>
    <xf numFmtId="0" fontId="0" fillId="0" borderId="5" xfId="0" applyBorder="1" applyAlignment="1">
      <alignment vertical="top"/>
    </xf>
    <xf numFmtId="0" fontId="0" fillId="0" borderId="0" xfId="0" applyAlignment="1">
      <alignment vertical="top"/>
    </xf>
    <xf numFmtId="0" fontId="5" fillId="15" borderId="2" xfId="0" applyFont="1" applyFill="1" applyBorder="1" applyAlignment="1">
      <alignment horizontal="left"/>
    </xf>
    <xf numFmtId="165" fontId="13" fillId="5" borderId="0" xfId="0" applyNumberFormat="1" applyFont="1" applyFill="1" applyAlignment="1">
      <alignment horizontal="center" wrapText="1"/>
    </xf>
    <xf numFmtId="0" fontId="10" fillId="0" borderId="55" xfId="0" applyFont="1" applyBorder="1" applyAlignment="1">
      <alignment wrapText="1"/>
    </xf>
    <xf numFmtId="0" fontId="5" fillId="3" borderId="65" xfId="0" applyFont="1" applyFill="1" applyBorder="1" applyAlignment="1">
      <alignment horizontal="left"/>
    </xf>
    <xf numFmtId="0" fontId="0" fillId="0" borderId="33" xfId="0" applyBorder="1" applyAlignment="1">
      <alignment horizontal="left"/>
    </xf>
    <xf numFmtId="0" fontId="10" fillId="0" borderId="64" xfId="0" applyFont="1" applyBorder="1" applyAlignment="1">
      <alignment wrapText="1"/>
    </xf>
    <xf numFmtId="0" fontId="1" fillId="0" borderId="2" xfId="0" applyFont="1" applyBorder="1" applyAlignment="1">
      <alignment wrapText="1"/>
    </xf>
    <xf numFmtId="0" fontId="0" fillId="7" borderId="65" xfId="0" applyFill="1" applyBorder="1" applyAlignment="1">
      <alignment horizontal="left"/>
    </xf>
    <xf numFmtId="165" fontId="11" fillId="7" borderId="2" xfId="0" applyNumberFormat="1" applyFont="1" applyFill="1" applyBorder="1" applyAlignment="1">
      <alignment horizontal="left"/>
    </xf>
    <xf numFmtId="0" fontId="18" fillId="3" borderId="66" xfId="0" applyFont="1" applyFill="1" applyBorder="1" applyAlignment="1">
      <alignment horizontal="center" vertical="center" wrapText="1"/>
    </xf>
    <xf numFmtId="0" fontId="16" fillId="0" borderId="60" xfId="0" applyFont="1" applyBorder="1" applyAlignment="1">
      <alignment horizontal="center" vertical="center" wrapText="1"/>
    </xf>
    <xf numFmtId="0" fontId="16" fillId="13" borderId="40" xfId="0" applyFont="1" applyFill="1" applyBorder="1" applyAlignment="1">
      <alignment wrapText="1"/>
    </xf>
    <xf numFmtId="0" fontId="21" fillId="3" borderId="25" xfId="0" applyFont="1" applyFill="1" applyBorder="1" applyAlignment="1">
      <alignment horizontal="center" vertical="center"/>
    </xf>
    <xf numFmtId="0" fontId="22" fillId="0" borderId="41" xfId="0" applyFont="1" applyBorder="1" applyAlignment="1">
      <alignment horizontal="center" vertical="center"/>
    </xf>
    <xf numFmtId="0" fontId="22" fillId="0" borderId="15" xfId="0" applyFont="1" applyBorder="1"/>
    <xf numFmtId="0" fontId="21" fillId="3" borderId="2" xfId="0" applyFont="1" applyFill="1" applyBorder="1" applyAlignment="1">
      <alignment horizontal="center" vertical="center" wrapText="1"/>
    </xf>
    <xf numFmtId="165" fontId="16" fillId="5" borderId="66" xfId="0" applyNumberFormat="1" applyFont="1" applyFill="1" applyBorder="1" applyAlignment="1">
      <alignment horizontal="center" wrapText="1"/>
    </xf>
    <xf numFmtId="165" fontId="16" fillId="5" borderId="2" xfId="0" applyNumberFormat="1" applyFont="1" applyFill="1" applyBorder="1" applyAlignment="1">
      <alignment horizontal="center" wrapText="1"/>
    </xf>
    <xf numFmtId="165" fontId="16" fillId="0" borderId="2" xfId="0" applyNumberFormat="1" applyFont="1" applyBorder="1" applyAlignment="1">
      <alignment horizontal="center"/>
    </xf>
    <xf numFmtId="165" fontId="18" fillId="14" borderId="67" xfId="0" applyNumberFormat="1" applyFont="1" applyFill="1" applyBorder="1" applyAlignment="1">
      <alignment horizontal="center"/>
    </xf>
    <xf numFmtId="0" fontId="8" fillId="8" borderId="9" xfId="0" applyFont="1" applyFill="1" applyBorder="1" applyAlignment="1">
      <alignment horizontal="left"/>
    </xf>
    <xf numFmtId="0" fontId="11" fillId="8" borderId="9" xfId="0" applyFont="1" applyFill="1" applyBorder="1" applyAlignment="1">
      <alignment horizontal="left"/>
    </xf>
    <xf numFmtId="0" fontId="0" fillId="8" borderId="9" xfId="0" applyFill="1" applyBorder="1" applyAlignment="1">
      <alignment horizontal="left"/>
    </xf>
    <xf numFmtId="165" fontId="11" fillId="8" borderId="69" xfId="0" applyNumberFormat="1" applyFont="1" applyFill="1" applyBorder="1" applyAlignment="1">
      <alignment horizontal="left"/>
    </xf>
    <xf numFmtId="0" fontId="23" fillId="17" borderId="70" xfId="0" applyFont="1" applyFill="1" applyBorder="1" applyAlignment="1">
      <alignment horizontal="left"/>
    </xf>
    <xf numFmtId="0" fontId="23" fillId="17" borderId="71" xfId="0" applyFont="1" applyFill="1" applyBorder="1" applyAlignment="1">
      <alignment horizontal="left"/>
    </xf>
    <xf numFmtId="165" fontId="23" fillId="17" borderId="72" xfId="0" applyNumberFormat="1" applyFont="1" applyFill="1" applyBorder="1" applyAlignment="1">
      <alignment horizontal="left"/>
    </xf>
    <xf numFmtId="164" fontId="23" fillId="17" borderId="68" xfId="0" applyNumberFormat="1" applyFont="1" applyFill="1" applyBorder="1" applyAlignment="1">
      <alignment horizontal="left"/>
    </xf>
    <xf numFmtId="165" fontId="16" fillId="0" borderId="15" xfId="0" applyNumberFormat="1" applyFont="1" applyBorder="1" applyAlignment="1">
      <alignment horizontal="center"/>
    </xf>
    <xf numFmtId="0" fontId="16" fillId="0" borderId="5" xfId="0" applyFont="1" applyBorder="1" applyAlignment="1">
      <alignment horizontal="center" vertical="center" wrapText="1"/>
    </xf>
    <xf numFmtId="0" fontId="16" fillId="0" borderId="5" xfId="0" applyFont="1" applyBorder="1"/>
    <xf numFmtId="165" fontId="16" fillId="0" borderId="5" xfId="0" applyNumberFormat="1" applyFont="1" applyBorder="1" applyAlignment="1">
      <alignment horizontal="center"/>
    </xf>
    <xf numFmtId="0" fontId="16" fillId="0" borderId="5" xfId="0" applyFont="1" applyBorder="1" applyAlignment="1">
      <alignment horizontal="center"/>
    </xf>
    <xf numFmtId="0" fontId="20" fillId="0" borderId="9" xfId="0" applyFont="1" applyBorder="1" applyAlignment="1">
      <alignment horizontal="center"/>
    </xf>
    <xf numFmtId="9" fontId="0" fillId="0" borderId="5" xfId="0" applyNumberFormat="1" applyBorder="1" applyAlignment="1">
      <alignment horizontal="center" vertical="center"/>
    </xf>
    <xf numFmtId="9" fontId="0" fillId="0" borderId="9" xfId="0" applyNumberFormat="1" applyBorder="1" applyAlignment="1">
      <alignment horizontal="center" vertical="center"/>
    </xf>
    <xf numFmtId="0" fontId="18" fillId="3" borderId="66" xfId="0" applyFont="1" applyFill="1" applyBorder="1" applyAlignment="1">
      <alignment horizontal="center" vertical="center"/>
    </xf>
    <xf numFmtId="165" fontId="16" fillId="5" borderId="2" xfId="0" applyNumberFormat="1" applyFont="1" applyFill="1" applyBorder="1" applyAlignment="1">
      <alignment horizontal="center"/>
    </xf>
    <xf numFmtId="0" fontId="24" fillId="0" borderId="5" xfId="0" applyFont="1" applyBorder="1"/>
    <xf numFmtId="0" fontId="10" fillId="0" borderId="5" xfId="0" applyFont="1" applyBorder="1" applyAlignment="1">
      <alignment horizontal="center"/>
    </xf>
    <xf numFmtId="0" fontId="25" fillId="19" borderId="5" xfId="0" applyFont="1" applyFill="1" applyBorder="1"/>
    <xf numFmtId="165" fontId="26" fillId="19" borderId="10" xfId="0" applyNumberFormat="1" applyFont="1" applyFill="1" applyBorder="1" applyAlignment="1">
      <alignment horizontal="center" wrapText="1"/>
    </xf>
    <xf numFmtId="0" fontId="25" fillId="18" borderId="5" xfId="0" applyFont="1" applyFill="1" applyBorder="1"/>
    <xf numFmtId="165" fontId="26" fillId="18" borderId="10" xfId="0" applyNumberFormat="1" applyFont="1" applyFill="1" applyBorder="1" applyAlignment="1">
      <alignment horizontal="center" wrapText="1"/>
    </xf>
    <xf numFmtId="0" fontId="8" fillId="20" borderId="5" xfId="0" applyFont="1" applyFill="1" applyBorder="1"/>
    <xf numFmtId="165" fontId="26" fillId="21" borderId="10" xfId="0" applyNumberFormat="1" applyFont="1" applyFill="1" applyBorder="1" applyAlignment="1">
      <alignment horizontal="center" wrapText="1"/>
    </xf>
    <xf numFmtId="0" fontId="25" fillId="21" borderId="5" xfId="0" applyFont="1" applyFill="1" applyBorder="1"/>
    <xf numFmtId="0" fontId="15" fillId="0" borderId="16" xfId="0" applyFont="1" applyBorder="1" applyAlignment="1">
      <alignment horizontal="center" vertical="center" wrapText="1"/>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0" fontId="17" fillId="9" borderId="21" xfId="0" applyFont="1" applyFill="1" applyBorder="1" applyAlignment="1">
      <alignment wrapText="1"/>
    </xf>
    <xf numFmtId="0" fontId="17" fillId="9" borderId="22" xfId="0" applyFont="1" applyFill="1" applyBorder="1" applyAlignment="1">
      <alignment wrapText="1"/>
    </xf>
    <xf numFmtId="0" fontId="17" fillId="9" borderId="23" xfId="0" applyFont="1" applyFill="1" applyBorder="1" applyAlignment="1">
      <alignment wrapText="1"/>
    </xf>
    <xf numFmtId="0" fontId="20" fillId="0" borderId="6" xfId="0" applyFont="1" applyBorder="1" applyAlignment="1">
      <alignment horizontal="center" vertical="center"/>
    </xf>
    <xf numFmtId="0" fontId="20" fillId="0" borderId="55" xfId="0" applyFont="1" applyBorder="1" applyAlignment="1">
      <alignment horizontal="center" vertical="center"/>
    </xf>
    <xf numFmtId="0" fontId="20" fillId="0" borderId="11" xfId="0" applyFont="1" applyBorder="1" applyAlignment="1">
      <alignment horizontal="center" vertical="center"/>
    </xf>
    <xf numFmtId="0" fontId="19" fillId="12" borderId="16" xfId="0" applyFont="1" applyFill="1" applyBorder="1" applyAlignment="1">
      <alignment wrapText="1"/>
    </xf>
    <xf numFmtId="0" fontId="19" fillId="12" borderId="17" xfId="0" applyFont="1" applyFill="1" applyBorder="1" applyAlignment="1">
      <alignment wrapText="1"/>
    </xf>
    <xf numFmtId="0" fontId="19" fillId="12" borderId="18" xfId="0" applyFont="1" applyFill="1" applyBorder="1" applyAlignment="1">
      <alignment wrapText="1"/>
    </xf>
    <xf numFmtId="0" fontId="15" fillId="0" borderId="56" xfId="0" applyFont="1" applyBorder="1" applyAlignment="1">
      <alignment horizontal="center" vertical="center" wrapText="1"/>
    </xf>
    <xf numFmtId="0" fontId="15" fillId="0" borderId="57" xfId="0" applyFont="1" applyBorder="1" applyAlignment="1">
      <alignment horizontal="center" vertical="center" wrapText="1"/>
    </xf>
    <xf numFmtId="0" fontId="15" fillId="0" borderId="58" xfId="0" applyFont="1" applyBorder="1" applyAlignment="1">
      <alignment horizontal="center" vertical="center" wrapText="1"/>
    </xf>
    <xf numFmtId="0" fontId="17" fillId="9" borderId="59" xfId="0" applyFont="1" applyFill="1" applyBorder="1" applyAlignment="1">
      <alignment horizontal="center" wrapText="1"/>
    </xf>
    <xf numFmtId="0" fontId="17" fillId="9" borderId="0" xfId="0" applyFont="1" applyFill="1" applyAlignment="1">
      <alignment horizontal="center" wrapText="1"/>
    </xf>
    <xf numFmtId="0" fontId="17" fillId="9" borderId="40" xfId="0" applyFont="1" applyFill="1" applyBorder="1" applyAlignment="1">
      <alignment horizontal="center" wrapText="1"/>
    </xf>
    <xf numFmtId="0" fontId="22" fillId="16" borderId="14" xfId="0" applyFont="1" applyFill="1" applyBorder="1" applyAlignment="1">
      <alignment horizontal="center"/>
    </xf>
    <xf numFmtId="0" fontId="22" fillId="16" borderId="15" xfId="0" applyFont="1" applyFill="1" applyBorder="1" applyAlignment="1">
      <alignment horizontal="center"/>
    </xf>
    <xf numFmtId="0" fontId="18" fillId="14" borderId="61" xfId="0" applyFont="1" applyFill="1" applyBorder="1" applyAlignment="1">
      <alignment horizontal="center"/>
    </xf>
    <xf numFmtId="0" fontId="18" fillId="14" borderId="62" xfId="0" applyFont="1" applyFill="1" applyBorder="1" applyAlignment="1">
      <alignment horizontal="center"/>
    </xf>
    <xf numFmtId="0" fontId="18" fillId="14" borderId="63" xfId="0" applyFont="1" applyFill="1" applyBorder="1" applyAlignment="1">
      <alignment horizontal="center"/>
    </xf>
    <xf numFmtId="0" fontId="15" fillId="0" borderId="16" xfId="0" applyFont="1" applyBorder="1" applyAlignment="1">
      <alignment horizontal="center" wrapText="1"/>
    </xf>
    <xf numFmtId="0" fontId="15" fillId="0" borderId="17" xfId="0" applyFont="1" applyBorder="1" applyAlignment="1">
      <alignment horizontal="center" wrapText="1"/>
    </xf>
    <xf numFmtId="0" fontId="15" fillId="0" borderId="18" xfId="0" applyFont="1" applyBorder="1" applyAlignment="1">
      <alignment horizontal="center" wrapText="1"/>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vertical="center"/>
    </xf>
    <xf numFmtId="0" fontId="2" fillId="0" borderId="0" xfId="0" applyFont="1" applyAlignment="1">
      <alignment vertical="center" wrapText="1"/>
    </xf>
  </cellXfs>
  <cellStyles count="2">
    <cellStyle name="Name" xfId="1" xr:uid="{00000000-0005-0000-0000-000012000000}"/>
    <cellStyle name="Normal" xfId="0" builtinId="0"/>
  </cellStyles>
  <dxfs count="3">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scheme val="none"/>
      </font>
      <numFmt numFmtId="165" formatCode="[$£-809]#,##0.00"/>
      <fill>
        <patternFill patternType="solid">
          <fgColor rgb="FF000000"/>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ptos Narrow"/>
        <charset val="134"/>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AAD5B-BA7A-482D-837C-265A2B23A1EB}" name="Table3" displayName="Table3" ref="L3:Q11" totalsRowShown="0" headerRowDxfId="2">
  <autoFilter ref="L3:Q11" xr:uid="{0F5AAD5B-BA7A-482D-837C-265A2B23A1EB}"/>
  <tableColumns count="6">
    <tableColumn id="1" xr3:uid="{88D0F13D-3FC6-438B-87B0-93ABABB446F6}" name="Task"/>
    <tableColumn id="2" xr3:uid="{BBEB0FDE-7071-44FA-8224-9DF87BF09CA8}" name="Analysis (Hours)"/>
    <tableColumn id="3" xr3:uid="{B0BBE7EF-A949-46B6-B121-8DF7456C0612}" name="Development (Hours)"/>
    <tableColumn id="4" xr3:uid="{F67C72E4-CF73-4AF3-9B2B-5CA2F33C52D4}" name="Testing (Hours)"/>
    <tableColumn id="5" xr3:uid="{AC0823C7-8E76-442F-B521-1574E24C62A9}" name="Total Hours"/>
    <tableColumn id="6" xr3:uid="{C052D31A-9005-4A75-89E8-B33BE33872E1}" name="Details"/>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97767E-40DC-4F2D-B01C-635297D77F6B}" name="Table4" displayName="Table4" ref="L16:M19" totalsRowShown="0">
  <autoFilter ref="L16:M19" xr:uid="{CD97767E-40DC-4F2D-B01C-635297D77F6B}"/>
  <tableColumns count="2">
    <tableColumn id="1" xr3:uid="{D0915760-6488-444A-843F-92A86080E7EE}" name="Cost(Azure and third party services) Per Month" dataDxfId="1"/>
    <tableColumn id="2" xr3:uid="{066626ED-ADA6-41F4-8315-8E9B5AD3F55E}" name="Change in Infra"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ACBED-8EE7-4172-B47B-392760029FE9}">
  <dimension ref="A1:P35"/>
  <sheetViews>
    <sheetView tabSelected="1" workbookViewId="0">
      <selection activeCell="P12" sqref="P12"/>
    </sheetView>
  </sheetViews>
  <sheetFormatPr defaultRowHeight="15" customHeight="1"/>
  <cols>
    <col min="2" max="2" width="64.125" customWidth="1"/>
  </cols>
  <sheetData>
    <row r="1" spans="1:16" ht="61.5" customHeight="1">
      <c r="A1" s="205" t="s">
        <v>0</v>
      </c>
      <c r="B1" s="206"/>
      <c r="C1" s="206"/>
      <c r="D1" s="206"/>
      <c r="E1" s="207"/>
    </row>
    <row r="2" spans="1:16" ht="15" customHeight="1">
      <c r="A2" s="57" t="s">
        <v>1</v>
      </c>
      <c r="B2" s="58" t="s">
        <v>1</v>
      </c>
      <c r="C2" s="58" t="s">
        <v>1</v>
      </c>
      <c r="D2" s="59" t="s">
        <v>1</v>
      </c>
      <c r="E2" s="60" t="s">
        <v>1</v>
      </c>
    </row>
    <row r="3" spans="1:16" ht="15" customHeight="1">
      <c r="A3" s="208" t="s">
        <v>2</v>
      </c>
      <c r="B3" s="209"/>
      <c r="C3" s="209"/>
      <c r="D3" s="209"/>
      <c r="E3" s="210"/>
      <c r="G3" s="152" t="s">
        <v>3</v>
      </c>
    </row>
    <row r="4" spans="1:16" ht="15" customHeight="1">
      <c r="A4" s="61" t="s">
        <v>4</v>
      </c>
      <c r="B4" s="62" t="s">
        <v>5</v>
      </c>
      <c r="C4" s="63" t="s">
        <v>6</v>
      </c>
      <c r="D4" s="63" t="s">
        <v>7</v>
      </c>
      <c r="E4" s="64" t="s">
        <v>8</v>
      </c>
    </row>
    <row r="5" spans="1:16" ht="15" customHeight="1">
      <c r="A5" s="65" t="s">
        <v>1</v>
      </c>
      <c r="B5" s="66" t="s">
        <v>1</v>
      </c>
      <c r="C5" s="66" t="s">
        <v>1</v>
      </c>
      <c r="D5" s="66" t="s">
        <v>1</v>
      </c>
      <c r="E5" s="60" t="s">
        <v>1</v>
      </c>
      <c r="G5" s="135" t="s">
        <v>9</v>
      </c>
      <c r="H5" s="135">
        <v>2000</v>
      </c>
    </row>
    <row r="6" spans="1:16" ht="15" customHeight="1">
      <c r="A6" s="67">
        <v>1</v>
      </c>
      <c r="B6" s="68" t="s">
        <v>10</v>
      </c>
      <c r="C6" s="69">
        <v>20</v>
      </c>
      <c r="D6" s="70">
        <f>SUM(D7:D9)</f>
        <v>40</v>
      </c>
      <c r="E6" s="71">
        <f>C6*D6</f>
        <v>800</v>
      </c>
      <c r="G6" s="136" t="s">
        <v>11</v>
      </c>
      <c r="H6" s="136" t="s">
        <v>12</v>
      </c>
      <c r="I6" s="136" t="s">
        <v>13</v>
      </c>
      <c r="J6" s="136" t="s">
        <v>14</v>
      </c>
      <c r="K6" s="136" t="s">
        <v>15</v>
      </c>
      <c r="L6" s="136" t="s">
        <v>16</v>
      </c>
    </row>
    <row r="7" spans="1:16" ht="15" customHeight="1">
      <c r="A7" s="72">
        <v>1.2</v>
      </c>
      <c r="B7" s="73" t="s">
        <v>17</v>
      </c>
      <c r="C7" s="74" t="s">
        <v>1</v>
      </c>
      <c r="D7" s="75">
        <v>24</v>
      </c>
      <c r="E7" s="76" t="s">
        <v>1</v>
      </c>
      <c r="G7" s="137" t="s">
        <v>18</v>
      </c>
      <c r="H7" s="138">
        <v>0.9</v>
      </c>
      <c r="I7" s="42">
        <f>H5*H7</f>
        <v>1800</v>
      </c>
      <c r="J7" s="139" t="s">
        <v>19</v>
      </c>
      <c r="K7" s="140">
        <v>1</v>
      </c>
      <c r="L7" s="42">
        <f>K7*I7</f>
        <v>1800</v>
      </c>
    </row>
    <row r="8" spans="1:16" ht="15" customHeight="1">
      <c r="A8" s="72">
        <v>1.3</v>
      </c>
      <c r="B8" s="66" t="s">
        <v>20</v>
      </c>
      <c r="C8" s="77" t="s">
        <v>1</v>
      </c>
      <c r="D8" s="78">
        <v>16</v>
      </c>
      <c r="E8" s="79" t="s">
        <v>1</v>
      </c>
      <c r="G8" s="141" t="s">
        <v>21</v>
      </c>
      <c r="H8" s="142">
        <v>0.1</v>
      </c>
      <c r="I8" s="93">
        <f>H5*H8</f>
        <v>200</v>
      </c>
      <c r="J8" s="143" t="s">
        <v>22</v>
      </c>
      <c r="K8" s="144">
        <v>3</v>
      </c>
      <c r="L8" s="93">
        <f>K8*I8</f>
        <v>600</v>
      </c>
    </row>
    <row r="9" spans="1:16" ht="15" customHeight="1">
      <c r="A9" s="80" t="s">
        <v>1</v>
      </c>
      <c r="B9" s="81" t="s">
        <v>1</v>
      </c>
      <c r="C9" s="82" t="s">
        <v>1</v>
      </c>
      <c r="D9" s="83" t="s">
        <v>1</v>
      </c>
      <c r="E9" s="84" t="s">
        <v>1</v>
      </c>
      <c r="G9" s="211" t="s">
        <v>23</v>
      </c>
      <c r="H9" s="212"/>
      <c r="I9" s="212"/>
      <c r="J9" s="212"/>
      <c r="K9" s="213"/>
      <c r="L9" s="42">
        <f>SUM(L7:L8)</f>
        <v>2400</v>
      </c>
    </row>
    <row r="10" spans="1:16" ht="15" customHeight="1">
      <c r="A10" s="85">
        <v>2</v>
      </c>
      <c r="B10" s="86" t="s">
        <v>24</v>
      </c>
      <c r="C10" s="87">
        <v>20</v>
      </c>
      <c r="D10" s="88">
        <f>SUM(D11:D15)</f>
        <v>2456</v>
      </c>
      <c r="E10" s="89">
        <f>C10*D10</f>
        <v>49120</v>
      </c>
    </row>
    <row r="11" spans="1:16" ht="15" customHeight="1">
      <c r="A11" s="72">
        <v>2.1</v>
      </c>
      <c r="B11" s="155" t="s">
        <v>25</v>
      </c>
      <c r="C11" s="90" t="s">
        <v>1</v>
      </c>
      <c r="D11" s="91">
        <f>L9</f>
        <v>2400</v>
      </c>
      <c r="E11" s="92" t="s">
        <v>1</v>
      </c>
      <c r="N11">
        <f>D11/8</f>
        <v>300</v>
      </c>
      <c r="O11">
        <f>N11/22</f>
        <v>13.636363636363637</v>
      </c>
      <c r="P11">
        <f>O11/4</f>
        <v>3.4090909090909092</v>
      </c>
    </row>
    <row r="12" spans="1:16" ht="15" customHeight="1">
      <c r="A12" s="72">
        <v>2.2000000000000002</v>
      </c>
      <c r="B12" s="155" t="s">
        <v>26</v>
      </c>
      <c r="C12" s="90"/>
      <c r="D12" s="91">
        <v>8</v>
      </c>
      <c r="E12" s="92"/>
    </row>
    <row r="13" spans="1:16" ht="15" customHeight="1">
      <c r="A13" s="72">
        <v>2.2999999999999998</v>
      </c>
      <c r="B13" s="156" t="s">
        <v>27</v>
      </c>
      <c r="C13" s="90"/>
      <c r="D13" s="91">
        <v>24</v>
      </c>
      <c r="E13" s="92"/>
      <c r="H13" s="152" t="s">
        <v>28</v>
      </c>
    </row>
    <row r="14" spans="1:16" ht="15" customHeight="1">
      <c r="A14" s="72">
        <v>2.4</v>
      </c>
      <c r="B14" s="154" t="s">
        <v>29</v>
      </c>
      <c r="C14" s="90"/>
      <c r="D14" s="91">
        <v>8</v>
      </c>
      <c r="E14" s="92"/>
      <c r="H14" s="152">
        <v>2000</v>
      </c>
    </row>
    <row r="15" spans="1:16" ht="15" customHeight="1">
      <c r="A15" s="72">
        <v>2.5</v>
      </c>
      <c r="B15" s="157" t="s">
        <v>30</v>
      </c>
      <c r="C15" s="94" t="s">
        <v>1</v>
      </c>
      <c r="D15" s="95">
        <v>16</v>
      </c>
      <c r="E15" s="96" t="s">
        <v>1</v>
      </c>
    </row>
    <row r="16" spans="1:16" ht="15" customHeight="1">
      <c r="A16" s="85">
        <v>3</v>
      </c>
      <c r="B16" s="86" t="s">
        <v>31</v>
      </c>
      <c r="C16" s="87">
        <v>20</v>
      </c>
      <c r="D16" s="88">
        <f>SUM(D17:D20)</f>
        <v>28</v>
      </c>
      <c r="E16" s="89">
        <f>C16*D16</f>
        <v>560</v>
      </c>
      <c r="H16" t="s">
        <v>32</v>
      </c>
    </row>
    <row r="17" spans="1:8" ht="15" customHeight="1">
      <c r="A17" s="97">
        <v>3.1</v>
      </c>
      <c r="B17" s="73" t="s">
        <v>33</v>
      </c>
      <c r="C17" s="98" t="s">
        <v>1</v>
      </c>
      <c r="D17" s="75">
        <v>8</v>
      </c>
      <c r="E17" s="92" t="s">
        <v>1</v>
      </c>
      <c r="H17" t="s">
        <v>34</v>
      </c>
    </row>
    <row r="18" spans="1:8" ht="15" customHeight="1">
      <c r="A18" s="168">
        <v>3.2</v>
      </c>
      <c r="B18" s="66" t="s">
        <v>35</v>
      </c>
      <c r="C18" s="186"/>
      <c r="D18" s="78">
        <v>8</v>
      </c>
      <c r="E18" s="96"/>
      <c r="H18" t="s">
        <v>36</v>
      </c>
    </row>
    <row r="19" spans="1:8" ht="15" customHeight="1">
      <c r="A19" s="187">
        <v>3.3</v>
      </c>
      <c r="B19" s="188" t="s">
        <v>37</v>
      </c>
      <c r="C19" s="189"/>
      <c r="D19" s="190">
        <v>8</v>
      </c>
      <c r="E19" s="189"/>
    </row>
    <row r="20" spans="1:8" ht="15" customHeight="1">
      <c r="A20" s="97">
        <v>3.4</v>
      </c>
      <c r="B20" s="100" t="s">
        <v>38</v>
      </c>
      <c r="C20" s="101" t="s">
        <v>1</v>
      </c>
      <c r="D20" s="102">
        <v>4</v>
      </c>
      <c r="E20" s="103" t="s">
        <v>1</v>
      </c>
      <c r="H20" t="s">
        <v>39</v>
      </c>
    </row>
    <row r="21" spans="1:8" ht="15" customHeight="1">
      <c r="A21" s="104">
        <v>4</v>
      </c>
      <c r="B21" s="105" t="s">
        <v>40</v>
      </c>
      <c r="C21" s="106">
        <v>20</v>
      </c>
      <c r="D21" s="107">
        <v>12</v>
      </c>
      <c r="E21" s="108">
        <f>C21*D21</f>
        <v>240</v>
      </c>
    </row>
    <row r="22" spans="1:8" ht="15" customHeight="1">
      <c r="A22" s="109">
        <v>4.0999999999999996</v>
      </c>
      <c r="B22" s="110" t="s">
        <v>41</v>
      </c>
      <c r="C22" s="111" t="s">
        <v>1</v>
      </c>
      <c r="D22" s="112" t="s">
        <v>1</v>
      </c>
      <c r="E22" s="113" t="s">
        <v>1</v>
      </c>
    </row>
    <row r="23" spans="1:8" ht="15" customHeight="1">
      <c r="A23" s="104">
        <v>5</v>
      </c>
      <c r="B23" s="105" t="s">
        <v>42</v>
      </c>
      <c r="C23" s="106">
        <v>20</v>
      </c>
      <c r="D23" s="107">
        <f>ROUND(D10*10%,0)</f>
        <v>246</v>
      </c>
      <c r="E23" s="108">
        <f>C23*D23</f>
        <v>4920</v>
      </c>
    </row>
    <row r="24" spans="1:8" ht="15" customHeight="1">
      <c r="A24" s="104">
        <v>6</v>
      </c>
      <c r="B24" s="105" t="s">
        <v>43</v>
      </c>
      <c r="C24" s="106">
        <v>20</v>
      </c>
      <c r="D24" s="107">
        <v>16</v>
      </c>
      <c r="E24" s="108">
        <f>C24*D24</f>
        <v>320</v>
      </c>
    </row>
    <row r="25" spans="1:8" ht="15" customHeight="1">
      <c r="A25" s="114">
        <v>7</v>
      </c>
      <c r="B25" s="115" t="s">
        <v>44</v>
      </c>
      <c r="C25" s="116">
        <v>20</v>
      </c>
      <c r="D25" s="117">
        <v>0</v>
      </c>
      <c r="E25" s="108">
        <f>C25*D25</f>
        <v>0</v>
      </c>
    </row>
    <row r="26" spans="1:8" ht="15" customHeight="1">
      <c r="A26" s="67">
        <v>8</v>
      </c>
      <c r="B26" s="68" t="s">
        <v>45</v>
      </c>
      <c r="C26" s="69">
        <v>20</v>
      </c>
      <c r="D26" s="70">
        <v>0</v>
      </c>
      <c r="E26" s="71">
        <f>C26*D26</f>
        <v>0</v>
      </c>
      <c r="F26" t="s">
        <v>46</v>
      </c>
    </row>
    <row r="27" spans="1:8" ht="15" customHeight="1">
      <c r="A27" s="109">
        <v>8.1</v>
      </c>
      <c r="B27" s="110" t="s">
        <v>47</v>
      </c>
      <c r="C27" s="111" t="s">
        <v>1</v>
      </c>
      <c r="D27" s="112" t="s">
        <v>1</v>
      </c>
      <c r="E27" s="113" t="s">
        <v>1</v>
      </c>
    </row>
    <row r="28" spans="1:8" ht="15" customHeight="1">
      <c r="A28" s="104">
        <v>9</v>
      </c>
      <c r="B28" s="105" t="s">
        <v>48</v>
      </c>
      <c r="C28" s="118" t="s">
        <v>1</v>
      </c>
      <c r="D28" s="107" t="s">
        <v>1</v>
      </c>
      <c r="E28" s="108">
        <v>810</v>
      </c>
      <c r="H28" s="153"/>
    </row>
    <row r="29" spans="1:8" ht="15" customHeight="1">
      <c r="A29" s="119">
        <v>9.1</v>
      </c>
      <c r="B29" s="120" t="s">
        <v>49</v>
      </c>
      <c r="C29" s="121" t="s">
        <v>1</v>
      </c>
      <c r="D29" s="122" t="s">
        <v>1</v>
      </c>
      <c r="E29" s="113" t="s">
        <v>1</v>
      </c>
    </row>
    <row r="30" spans="1:8" ht="15" customHeight="1">
      <c r="A30" s="123" t="s">
        <v>1</v>
      </c>
      <c r="B30" s="124" t="s">
        <v>50</v>
      </c>
      <c r="C30" s="127">
        <v>20</v>
      </c>
      <c r="D30" s="125">
        <f>SUM(D26,D25,D24,D23,D21,D16,D10,D6)</f>
        <v>2798</v>
      </c>
      <c r="E30" s="126">
        <f>D30*C30</f>
        <v>55960</v>
      </c>
    </row>
    <row r="31" spans="1:8" ht="15" customHeight="1">
      <c r="A31" s="123" t="s">
        <v>1</v>
      </c>
      <c r="B31" s="124" t="s">
        <v>51</v>
      </c>
      <c r="C31" s="127">
        <v>20</v>
      </c>
      <c r="D31" s="128">
        <f>D30*10%</f>
        <v>279.8</v>
      </c>
      <c r="E31" s="126">
        <f>D31*C31</f>
        <v>5596</v>
      </c>
    </row>
    <row r="32" spans="1:8" ht="15" customHeight="1">
      <c r="A32" s="129" t="s">
        <v>1</v>
      </c>
      <c r="B32" s="130" t="s">
        <v>52</v>
      </c>
      <c r="C32" s="131" t="s">
        <v>1</v>
      </c>
      <c r="D32" s="132">
        <f>SUM(D30:D31)</f>
        <v>3077.8</v>
      </c>
      <c r="E32" s="133">
        <f>SUM(E28:E31)</f>
        <v>62366</v>
      </c>
    </row>
    <row r="33" spans="1:5" ht="15" customHeight="1">
      <c r="A33" s="134" t="s">
        <v>1</v>
      </c>
      <c r="B33" s="59"/>
      <c r="C33" s="59"/>
      <c r="D33" s="59"/>
      <c r="E33" s="60" t="s">
        <v>1</v>
      </c>
    </row>
    <row r="34" spans="1:5" ht="15" customHeight="1">
      <c r="A34" s="134" t="s">
        <v>1</v>
      </c>
      <c r="B34" s="59"/>
      <c r="C34" s="59"/>
      <c r="D34" s="59"/>
      <c r="E34" s="60" t="s">
        <v>1</v>
      </c>
    </row>
    <row r="35" spans="1:5" ht="15" customHeight="1">
      <c r="A35" s="214" t="s">
        <v>53</v>
      </c>
      <c r="B35" s="215"/>
      <c r="C35" s="215"/>
      <c r="D35" s="215"/>
      <c r="E35" s="216"/>
    </row>
  </sheetData>
  <mergeCells count="4">
    <mergeCell ref="A1:E1"/>
    <mergeCell ref="A3:E3"/>
    <mergeCell ref="G9:K9"/>
    <mergeCell ref="A35:E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151B-B8E8-4C79-8633-2351B61EB2DE}">
  <dimension ref="A1:Q20"/>
  <sheetViews>
    <sheetView workbookViewId="0">
      <selection activeCell="E12" sqref="E12"/>
    </sheetView>
  </sheetViews>
  <sheetFormatPr defaultColWidth="8.625" defaultRowHeight="15" customHeight="1"/>
  <cols>
    <col min="1" max="1" width="4.75" bestFit="1" customWidth="1"/>
    <col min="2" max="2" width="51.5" customWidth="1"/>
    <col min="3" max="3" width="36.75" customWidth="1"/>
    <col min="4" max="4" width="13.125" customWidth="1"/>
    <col min="5" max="5" width="11.5" customWidth="1"/>
    <col min="6" max="6" width="25.75" customWidth="1"/>
    <col min="8" max="8" width="5" bestFit="1" customWidth="1"/>
    <col min="9" max="9" width="7" bestFit="1" customWidth="1"/>
    <col min="10" max="10" width="6" bestFit="1" customWidth="1"/>
    <col min="12" max="12" width="39.75" customWidth="1"/>
    <col min="13" max="13" width="23.5" bestFit="1" customWidth="1"/>
    <col min="14" max="14" width="33.5" bestFit="1" customWidth="1"/>
    <col min="15" max="15" width="15" bestFit="1" customWidth="1"/>
    <col min="16" max="16" width="12.125" bestFit="1" customWidth="1"/>
    <col min="17" max="17" width="61" bestFit="1" customWidth="1"/>
  </cols>
  <sheetData>
    <row r="1" spans="1:17" ht="52.5" customHeight="1">
      <c r="A1" s="217" t="s">
        <v>0</v>
      </c>
      <c r="B1" s="218"/>
      <c r="C1" s="218"/>
      <c r="D1" s="218"/>
      <c r="E1" s="218"/>
      <c r="F1" s="219"/>
    </row>
    <row r="2" spans="1:17" ht="15" customHeight="1">
      <c r="A2" s="220" t="s">
        <v>54</v>
      </c>
      <c r="B2" s="221"/>
      <c r="C2" s="221"/>
      <c r="D2" s="221"/>
      <c r="E2" s="221"/>
      <c r="F2" s="222"/>
    </row>
    <row r="3" spans="1:17" ht="43.5">
      <c r="A3" s="148" t="s">
        <v>4</v>
      </c>
      <c r="B3" s="170" t="s">
        <v>55</v>
      </c>
      <c r="C3" s="145" t="s">
        <v>1</v>
      </c>
      <c r="D3" s="167" t="s">
        <v>56</v>
      </c>
      <c r="E3" s="173" t="s">
        <v>57</v>
      </c>
      <c r="F3" s="149" t="s">
        <v>1</v>
      </c>
      <c r="L3" s="152" t="s">
        <v>58</v>
      </c>
      <c r="M3" s="152" t="s">
        <v>59</v>
      </c>
      <c r="N3" s="152" t="s">
        <v>60</v>
      </c>
      <c r="O3" s="152" t="s">
        <v>61</v>
      </c>
      <c r="P3" s="152" t="s">
        <v>62</v>
      </c>
      <c r="Q3" s="152" t="s">
        <v>63</v>
      </c>
    </row>
    <row r="4" spans="1:17" ht="15" customHeight="1">
      <c r="A4" s="147">
        <v>1</v>
      </c>
      <c r="B4" s="73" t="s">
        <v>64</v>
      </c>
      <c r="C4" s="146" t="s">
        <v>65</v>
      </c>
      <c r="D4" s="174">
        <v>120</v>
      </c>
      <c r="E4" s="175">
        <f>D4*2</f>
        <v>240</v>
      </c>
      <c r="F4" s="150" t="s">
        <v>66</v>
      </c>
      <c r="L4" t="s">
        <v>67</v>
      </c>
      <c r="M4">
        <f>ROUNDUP(N4*0.2,0)</f>
        <v>1</v>
      </c>
      <c r="N4">
        <v>4</v>
      </c>
      <c r="O4">
        <f>ROUNDUP(N4*0.25,0)</f>
        <v>1</v>
      </c>
      <c r="P4">
        <f>SUM(M4:O4)</f>
        <v>6</v>
      </c>
      <c r="Q4" t="s">
        <v>68</v>
      </c>
    </row>
    <row r="5" spans="1:17" ht="15" customHeight="1">
      <c r="A5" s="147">
        <v>2</v>
      </c>
      <c r="B5" s="73" t="s">
        <v>69</v>
      </c>
      <c r="C5" s="146" t="s">
        <v>70</v>
      </c>
      <c r="D5" s="174">
        <v>100</v>
      </c>
      <c r="E5" s="175">
        <f t="shared" ref="E5:E8" si="0">D5*2</f>
        <v>200</v>
      </c>
      <c r="F5" s="150" t="s">
        <v>66</v>
      </c>
      <c r="L5" t="s">
        <v>71</v>
      </c>
      <c r="M5">
        <f t="shared" ref="M5:M10" si="1">ROUNDUP(N5*0.2,0)</f>
        <v>1</v>
      </c>
      <c r="N5">
        <v>3</v>
      </c>
      <c r="O5">
        <f t="shared" ref="O5:O10" si="2">ROUNDUP(N5*0.25,0)</f>
        <v>1</v>
      </c>
      <c r="P5">
        <f t="shared" ref="P5:P10" si="3">SUM(M5:O5)</f>
        <v>5</v>
      </c>
      <c r="Q5" t="s">
        <v>72</v>
      </c>
    </row>
    <row r="6" spans="1:17" ht="15" customHeight="1">
      <c r="A6" s="171">
        <v>3</v>
      </c>
      <c r="B6" s="73" t="s">
        <v>73</v>
      </c>
      <c r="C6" s="146" t="s">
        <v>74</v>
      </c>
      <c r="D6" s="174">
        <v>300</v>
      </c>
      <c r="E6" s="175">
        <f t="shared" si="0"/>
        <v>600</v>
      </c>
      <c r="F6" s="150" t="s">
        <v>66</v>
      </c>
      <c r="L6" t="s">
        <v>75</v>
      </c>
      <c r="M6">
        <f t="shared" si="1"/>
        <v>4</v>
      </c>
      <c r="N6">
        <v>16</v>
      </c>
      <c r="O6">
        <f t="shared" si="2"/>
        <v>4</v>
      </c>
      <c r="P6">
        <f t="shared" si="3"/>
        <v>24</v>
      </c>
      <c r="Q6" t="s">
        <v>76</v>
      </c>
    </row>
    <row r="7" spans="1:17" ht="15" customHeight="1">
      <c r="A7" s="171">
        <v>4</v>
      </c>
      <c r="B7" s="146" t="s">
        <v>77</v>
      </c>
      <c r="C7" s="73" t="s">
        <v>1</v>
      </c>
      <c r="D7" s="174">
        <v>20</v>
      </c>
      <c r="E7" s="175">
        <f t="shared" si="0"/>
        <v>40</v>
      </c>
      <c r="F7" s="150" t="s">
        <v>66</v>
      </c>
      <c r="L7" t="s">
        <v>78</v>
      </c>
      <c r="M7">
        <f t="shared" si="1"/>
        <v>2</v>
      </c>
      <c r="N7">
        <v>6</v>
      </c>
      <c r="O7">
        <f t="shared" si="2"/>
        <v>2</v>
      </c>
      <c r="P7">
        <f t="shared" si="3"/>
        <v>10</v>
      </c>
      <c r="Q7" t="s">
        <v>79</v>
      </c>
    </row>
    <row r="8" spans="1:17" ht="15" customHeight="1">
      <c r="A8" s="171">
        <v>5</v>
      </c>
      <c r="B8" s="73" t="s">
        <v>80</v>
      </c>
      <c r="C8" s="73" t="s">
        <v>1</v>
      </c>
      <c r="D8" s="174">
        <v>20</v>
      </c>
      <c r="E8" s="175">
        <f t="shared" si="0"/>
        <v>40</v>
      </c>
      <c r="F8" s="150" t="s">
        <v>66</v>
      </c>
      <c r="L8" t="s">
        <v>81</v>
      </c>
      <c r="M8">
        <f t="shared" si="1"/>
        <v>1</v>
      </c>
      <c r="N8">
        <v>3</v>
      </c>
      <c r="O8">
        <f t="shared" si="2"/>
        <v>1</v>
      </c>
      <c r="P8">
        <f t="shared" si="3"/>
        <v>5</v>
      </c>
      <c r="Q8" t="s">
        <v>82</v>
      </c>
    </row>
    <row r="9" spans="1:17" ht="15" customHeight="1">
      <c r="A9" s="171">
        <v>6</v>
      </c>
      <c r="B9" s="73" t="s">
        <v>83</v>
      </c>
      <c r="C9" s="73"/>
      <c r="D9" s="174">
        <v>80</v>
      </c>
      <c r="E9" s="175">
        <v>200</v>
      </c>
      <c r="F9" s="150" t="s">
        <v>84</v>
      </c>
      <c r="L9" t="s">
        <v>85</v>
      </c>
      <c r="M9">
        <f t="shared" si="1"/>
        <v>1</v>
      </c>
      <c r="N9">
        <v>3</v>
      </c>
      <c r="O9">
        <f t="shared" si="2"/>
        <v>1</v>
      </c>
      <c r="P9">
        <f t="shared" si="3"/>
        <v>5</v>
      </c>
      <c r="Q9" t="s">
        <v>86</v>
      </c>
    </row>
    <row r="10" spans="1:17" ht="15" customHeight="1">
      <c r="A10" s="171">
        <v>7</v>
      </c>
      <c r="B10" s="73" t="s">
        <v>87</v>
      </c>
      <c r="C10" s="73"/>
      <c r="D10" s="174">
        <v>60</v>
      </c>
      <c r="E10" s="175">
        <v>120</v>
      </c>
      <c r="F10" s="150" t="s">
        <v>84</v>
      </c>
      <c r="H10">
        <v>900</v>
      </c>
      <c r="I10">
        <f>H10*10</f>
        <v>9000</v>
      </c>
      <c r="L10" t="s">
        <v>88</v>
      </c>
      <c r="M10">
        <f t="shared" si="1"/>
        <v>1</v>
      </c>
      <c r="N10">
        <v>2</v>
      </c>
      <c r="O10">
        <f t="shared" si="2"/>
        <v>1</v>
      </c>
      <c r="P10">
        <f t="shared" si="3"/>
        <v>4</v>
      </c>
      <c r="Q10" t="s">
        <v>89</v>
      </c>
    </row>
    <row r="11" spans="1:17" ht="15" customHeight="1">
      <c r="A11" s="171">
        <v>8</v>
      </c>
      <c r="B11" s="73" t="s">
        <v>90</v>
      </c>
      <c r="C11" s="73"/>
      <c r="D11" s="174">
        <v>110</v>
      </c>
      <c r="E11" s="175">
        <v>110</v>
      </c>
      <c r="F11" s="150" t="s">
        <v>84</v>
      </c>
      <c r="H11">
        <v>900</v>
      </c>
      <c r="I11">
        <f>H11*300</f>
        <v>270000</v>
      </c>
      <c r="J11">
        <f>I11/3</f>
        <v>90000</v>
      </c>
      <c r="L11" t="s">
        <v>91</v>
      </c>
      <c r="M11">
        <f>SUM(M4:M10)</f>
        <v>11</v>
      </c>
      <c r="N11">
        <f>SUM(N4:N10)</f>
        <v>37</v>
      </c>
      <c r="O11">
        <f>SUM(O4:O10)</f>
        <v>11</v>
      </c>
      <c r="P11">
        <f>SUM(P4:P10)</f>
        <v>59</v>
      </c>
    </row>
    <row r="12" spans="1:17" ht="15" customHeight="1">
      <c r="A12" s="168"/>
      <c r="B12" s="66"/>
      <c r="C12" s="66"/>
      <c r="D12" s="175"/>
      <c r="E12" s="175"/>
      <c r="F12" s="169"/>
    </row>
    <row r="13" spans="1:17" ht="15" customHeight="1">
      <c r="A13" s="168"/>
      <c r="B13" s="223" t="s">
        <v>92</v>
      </c>
      <c r="C13" s="224"/>
      <c r="D13" s="175"/>
      <c r="E13" s="175"/>
      <c r="F13" s="169"/>
    </row>
    <row r="14" spans="1:17" ht="15" customHeight="1">
      <c r="A14" s="168">
        <v>1</v>
      </c>
      <c r="B14" s="172" t="s">
        <v>93</v>
      </c>
      <c r="C14" s="66"/>
      <c r="D14" s="175"/>
      <c r="E14" s="175">
        <v>1000</v>
      </c>
      <c r="F14" s="169"/>
    </row>
    <row r="15" spans="1:17" ht="15" customHeight="1">
      <c r="A15" s="168">
        <v>2</v>
      </c>
      <c r="B15" s="172" t="s">
        <v>94</v>
      </c>
      <c r="C15" s="66" t="s">
        <v>1</v>
      </c>
      <c r="D15" s="176"/>
      <c r="E15" s="176">
        <v>400</v>
      </c>
      <c r="F15" s="151" t="s">
        <v>1</v>
      </c>
    </row>
    <row r="16" spans="1:17" ht="15" customHeight="1">
      <c r="A16" s="225" t="s">
        <v>95</v>
      </c>
      <c r="B16" s="226"/>
      <c r="C16" s="227"/>
      <c r="D16" s="177">
        <f>SUM(D4:D11)</f>
        <v>810</v>
      </c>
      <c r="E16" s="177">
        <f>SUM(E4:E15)</f>
        <v>2950</v>
      </c>
      <c r="F16" s="59"/>
      <c r="L16" s="194" t="s">
        <v>96</v>
      </c>
      <c r="M16" t="s">
        <v>97</v>
      </c>
    </row>
    <row r="17" spans="8:13" ht="15" customHeight="1">
      <c r="L17" s="195">
        <f>D4*2</f>
        <v>240</v>
      </c>
      <c r="M17" t="s">
        <v>64</v>
      </c>
    </row>
    <row r="18" spans="8:13" ht="15" customHeight="1">
      <c r="L18" s="195">
        <f>D5*2</f>
        <v>200</v>
      </c>
      <c r="M18" t="s">
        <v>69</v>
      </c>
    </row>
    <row r="19" spans="8:13" ht="15" customHeight="1">
      <c r="L19" s="195">
        <f>D9*2</f>
        <v>160</v>
      </c>
      <c r="M19" t="s">
        <v>83</v>
      </c>
    </row>
    <row r="20" spans="8:13" ht="15" customHeight="1">
      <c r="H20">
        <v>2000</v>
      </c>
      <c r="I20">
        <f>H20*10</f>
        <v>20000</v>
      </c>
    </row>
  </sheetData>
  <mergeCells count="4">
    <mergeCell ref="A1:F1"/>
    <mergeCell ref="A2:F2"/>
    <mergeCell ref="B13:C13"/>
    <mergeCell ref="A16:C16"/>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C23ED-E848-493E-B1F2-705EC23C0771}">
  <dimension ref="A1:L34"/>
  <sheetViews>
    <sheetView topLeftCell="B1" workbookViewId="0">
      <selection activeCell="D11" sqref="D11"/>
    </sheetView>
  </sheetViews>
  <sheetFormatPr defaultRowHeight="15" customHeight="1"/>
  <cols>
    <col min="2" max="2" width="68.5" bestFit="1" customWidth="1"/>
    <col min="5" max="5" width="9.125" bestFit="1" customWidth="1"/>
    <col min="8" max="8" width="18.125" customWidth="1"/>
  </cols>
  <sheetData>
    <row r="1" spans="1:12" ht="26.45" thickBot="1">
      <c r="A1" s="228" t="s">
        <v>0</v>
      </c>
      <c r="B1" s="229"/>
      <c r="C1" s="229"/>
      <c r="D1" s="229"/>
      <c r="E1" s="230"/>
    </row>
    <row r="2" spans="1:12" ht="15" customHeight="1">
      <c r="A2" s="57" t="s">
        <v>1</v>
      </c>
      <c r="B2" s="58" t="s">
        <v>1</v>
      </c>
      <c r="C2" s="58" t="s">
        <v>1</v>
      </c>
      <c r="D2" s="59" t="s">
        <v>1</v>
      </c>
      <c r="E2" s="60" t="s">
        <v>1</v>
      </c>
    </row>
    <row r="3" spans="1:12" ht="15" customHeight="1">
      <c r="A3" s="208" t="s">
        <v>2</v>
      </c>
      <c r="B3" s="209"/>
      <c r="C3" s="209"/>
      <c r="D3" s="209"/>
      <c r="E3" s="210"/>
      <c r="G3" s="152" t="s">
        <v>3</v>
      </c>
    </row>
    <row r="4" spans="1:12" ht="15" customHeight="1">
      <c r="A4" s="61" t="s">
        <v>4</v>
      </c>
      <c r="B4" s="62" t="s">
        <v>5</v>
      </c>
      <c r="C4" s="63" t="s">
        <v>6</v>
      </c>
      <c r="D4" s="63" t="s">
        <v>7</v>
      </c>
      <c r="E4" s="64" t="s">
        <v>8</v>
      </c>
    </row>
    <row r="5" spans="1:12" ht="15" customHeight="1" thickBot="1">
      <c r="A5" s="65" t="s">
        <v>1</v>
      </c>
      <c r="B5" s="66" t="s">
        <v>1</v>
      </c>
      <c r="C5" s="66" t="s">
        <v>1</v>
      </c>
      <c r="D5" s="66" t="s">
        <v>1</v>
      </c>
      <c r="E5" s="60" t="s">
        <v>1</v>
      </c>
      <c r="G5" s="135" t="s">
        <v>9</v>
      </c>
      <c r="H5" s="191">
        <v>110</v>
      </c>
    </row>
    <row r="6" spans="1:12" ht="15" customHeight="1">
      <c r="A6" s="67">
        <v>1</v>
      </c>
      <c r="B6" s="68" t="s">
        <v>10</v>
      </c>
      <c r="C6" s="69">
        <v>20</v>
      </c>
      <c r="D6" s="70">
        <f>SUM(D7:D9)</f>
        <v>40</v>
      </c>
      <c r="E6" s="71">
        <f>C6*D6</f>
        <v>800</v>
      </c>
      <c r="G6" s="136" t="s">
        <v>11</v>
      </c>
      <c r="H6" s="136" t="s">
        <v>12</v>
      </c>
      <c r="I6" s="136" t="s">
        <v>13</v>
      </c>
      <c r="J6" s="136" t="s">
        <v>14</v>
      </c>
      <c r="K6" s="136" t="s">
        <v>15</v>
      </c>
      <c r="L6" s="136" t="s">
        <v>16</v>
      </c>
    </row>
    <row r="7" spans="1:12" ht="15" customHeight="1">
      <c r="A7" s="72">
        <v>1.2</v>
      </c>
      <c r="B7" s="73" t="s">
        <v>17</v>
      </c>
      <c r="C7" s="74" t="s">
        <v>1</v>
      </c>
      <c r="D7" s="75">
        <v>24</v>
      </c>
      <c r="E7" s="76" t="s">
        <v>1</v>
      </c>
      <c r="G7" s="137" t="s">
        <v>18</v>
      </c>
      <c r="H7" s="192">
        <v>0.9</v>
      </c>
      <c r="I7" s="140">
        <f>H5*H7</f>
        <v>99</v>
      </c>
      <c r="J7" s="139" t="s">
        <v>19</v>
      </c>
      <c r="K7" s="140">
        <v>1</v>
      </c>
      <c r="L7" s="42">
        <f>K7*I7</f>
        <v>99</v>
      </c>
    </row>
    <row r="8" spans="1:12" ht="15" customHeight="1">
      <c r="A8" s="72">
        <v>1.3</v>
      </c>
      <c r="B8" s="66" t="s">
        <v>20</v>
      </c>
      <c r="C8" s="77" t="s">
        <v>1</v>
      </c>
      <c r="D8" s="78">
        <v>16</v>
      </c>
      <c r="E8" s="79" t="s">
        <v>1</v>
      </c>
      <c r="G8" s="141" t="s">
        <v>21</v>
      </c>
      <c r="H8" s="193">
        <v>0.1</v>
      </c>
      <c r="I8" s="144">
        <f>H5*H8</f>
        <v>11</v>
      </c>
      <c r="J8" s="143" t="s">
        <v>22</v>
      </c>
      <c r="K8" s="144">
        <v>3</v>
      </c>
      <c r="L8" s="93">
        <f>K8*I8</f>
        <v>33</v>
      </c>
    </row>
    <row r="9" spans="1:12" ht="15" customHeight="1" thickBot="1">
      <c r="A9" s="80" t="s">
        <v>1</v>
      </c>
      <c r="B9" s="81" t="s">
        <v>1</v>
      </c>
      <c r="C9" s="82" t="s">
        <v>1</v>
      </c>
      <c r="D9" s="83" t="s">
        <v>1</v>
      </c>
      <c r="E9" s="84" t="s">
        <v>1</v>
      </c>
      <c r="G9" s="211" t="s">
        <v>23</v>
      </c>
      <c r="H9" s="212"/>
      <c r="I9" s="212"/>
      <c r="J9" s="212"/>
      <c r="K9" s="213"/>
      <c r="L9" s="42">
        <f>SUM(L7:L8)</f>
        <v>132</v>
      </c>
    </row>
    <row r="10" spans="1:12" ht="15" customHeight="1">
      <c r="A10" s="85">
        <v>2</v>
      </c>
      <c r="B10" s="86" t="s">
        <v>24</v>
      </c>
      <c r="C10" s="87">
        <v>20</v>
      </c>
      <c r="D10" s="88">
        <f>SUM(D11:D15)</f>
        <v>188</v>
      </c>
      <c r="E10" s="89">
        <f>C10*D10</f>
        <v>3760</v>
      </c>
    </row>
    <row r="11" spans="1:12" ht="15" customHeight="1">
      <c r="A11" s="72">
        <v>2.1</v>
      </c>
      <c r="B11" s="155" t="s">
        <v>98</v>
      </c>
      <c r="C11" s="90" t="s">
        <v>1</v>
      </c>
      <c r="D11" s="91">
        <f>L9</f>
        <v>132</v>
      </c>
      <c r="E11" s="92" t="s">
        <v>1</v>
      </c>
    </row>
    <row r="12" spans="1:12" ht="15" customHeight="1">
      <c r="A12" s="72">
        <v>2.2000000000000002</v>
      </c>
      <c r="B12" s="155" t="s">
        <v>26</v>
      </c>
      <c r="C12" s="90"/>
      <c r="D12" s="91">
        <v>8</v>
      </c>
      <c r="E12" s="92"/>
    </row>
    <row r="13" spans="1:12" ht="15" customHeight="1">
      <c r="A13" s="72">
        <v>2.2999999999999998</v>
      </c>
      <c r="B13" s="156" t="s">
        <v>27</v>
      </c>
      <c r="C13" s="90"/>
      <c r="D13" s="91">
        <v>24</v>
      </c>
      <c r="E13" s="92"/>
      <c r="H13" s="152" t="s">
        <v>28</v>
      </c>
    </row>
    <row r="14" spans="1:12" ht="15" customHeight="1">
      <c r="A14" s="72">
        <v>2.4</v>
      </c>
      <c r="B14" s="154" t="s">
        <v>29</v>
      </c>
      <c r="C14" s="90"/>
      <c r="D14" s="91">
        <v>8</v>
      </c>
      <c r="E14" s="92"/>
      <c r="H14" s="152">
        <v>2000</v>
      </c>
    </row>
    <row r="15" spans="1:12" ht="15" customHeight="1" thickBot="1">
      <c r="A15" s="72">
        <v>2.5</v>
      </c>
      <c r="B15" s="157" t="s">
        <v>30</v>
      </c>
      <c r="C15" s="94" t="s">
        <v>1</v>
      </c>
      <c r="D15" s="95">
        <v>16</v>
      </c>
      <c r="E15" s="96" t="s">
        <v>1</v>
      </c>
    </row>
    <row r="16" spans="1:12" ht="15" customHeight="1">
      <c r="A16" s="85">
        <v>3</v>
      </c>
      <c r="B16" s="86" t="s">
        <v>31</v>
      </c>
      <c r="C16" s="87">
        <v>20</v>
      </c>
      <c r="D16" s="88">
        <f>SUM(D17:D19)</f>
        <v>20</v>
      </c>
      <c r="E16" s="89">
        <f>C16*D16</f>
        <v>400</v>
      </c>
      <c r="H16" t="s">
        <v>32</v>
      </c>
    </row>
    <row r="17" spans="1:8" ht="15" customHeight="1">
      <c r="A17" s="97">
        <v>3.1</v>
      </c>
      <c r="B17" s="73" t="s">
        <v>33</v>
      </c>
      <c r="C17" s="98" t="s">
        <v>1</v>
      </c>
      <c r="D17" s="75">
        <v>8</v>
      </c>
      <c r="E17" s="92" t="s">
        <v>1</v>
      </c>
      <c r="H17" t="s">
        <v>34</v>
      </c>
    </row>
    <row r="18" spans="1:8" ht="15" customHeight="1">
      <c r="A18" s="97">
        <v>3.2</v>
      </c>
      <c r="B18" s="73" t="s">
        <v>35</v>
      </c>
      <c r="C18" s="98"/>
      <c r="D18" s="75">
        <v>8</v>
      </c>
      <c r="E18" s="92"/>
      <c r="H18" t="s">
        <v>36</v>
      </c>
    </row>
    <row r="19" spans="1:8" ht="15" customHeight="1" thickBot="1">
      <c r="A19" s="99">
        <v>3.3</v>
      </c>
      <c r="B19" s="100" t="s">
        <v>38</v>
      </c>
      <c r="C19" s="101" t="s">
        <v>1</v>
      </c>
      <c r="D19" s="102">
        <v>4</v>
      </c>
      <c r="E19" s="103" t="s">
        <v>1</v>
      </c>
      <c r="H19" t="s">
        <v>39</v>
      </c>
    </row>
    <row r="20" spans="1:8" ht="15" customHeight="1">
      <c r="A20" s="104">
        <v>4</v>
      </c>
      <c r="B20" s="105" t="s">
        <v>40</v>
      </c>
      <c r="C20" s="106">
        <v>20</v>
      </c>
      <c r="D20" s="107">
        <v>12</v>
      </c>
      <c r="E20" s="108">
        <f>C20*D20</f>
        <v>240</v>
      </c>
    </row>
    <row r="21" spans="1:8" ht="15" customHeight="1" thickBot="1">
      <c r="A21" s="109">
        <v>4.0999999999999996</v>
      </c>
      <c r="B21" s="110" t="s">
        <v>41</v>
      </c>
      <c r="C21" s="111" t="s">
        <v>1</v>
      </c>
      <c r="D21" s="112" t="s">
        <v>1</v>
      </c>
      <c r="E21" s="113" t="s">
        <v>1</v>
      </c>
    </row>
    <row r="22" spans="1:8" ht="15" customHeight="1">
      <c r="A22" s="104">
        <v>5</v>
      </c>
      <c r="B22" s="105" t="s">
        <v>42</v>
      </c>
      <c r="C22" s="106">
        <v>20</v>
      </c>
      <c r="D22" s="107">
        <f>ROUND(D10*10%,0)</f>
        <v>19</v>
      </c>
      <c r="E22" s="108">
        <f>C22*D22</f>
        <v>380</v>
      </c>
    </row>
    <row r="23" spans="1:8" ht="15" customHeight="1">
      <c r="A23" s="104">
        <v>6</v>
      </c>
      <c r="B23" s="105" t="s">
        <v>43</v>
      </c>
      <c r="C23" s="106">
        <v>20</v>
      </c>
      <c r="D23" s="107">
        <v>16</v>
      </c>
      <c r="E23" s="108">
        <f>C23*D23</f>
        <v>320</v>
      </c>
    </row>
    <row r="24" spans="1:8" ht="15" customHeight="1" thickBot="1">
      <c r="A24" s="114">
        <v>7</v>
      </c>
      <c r="B24" s="115" t="s">
        <v>44</v>
      </c>
      <c r="C24" s="116">
        <v>20</v>
      </c>
      <c r="D24" s="117">
        <v>0</v>
      </c>
      <c r="E24" s="108">
        <f>C24*D24</f>
        <v>0</v>
      </c>
    </row>
    <row r="25" spans="1:8" ht="15" customHeight="1">
      <c r="A25" s="67">
        <v>8</v>
      </c>
      <c r="B25" s="68" t="s">
        <v>45</v>
      </c>
      <c r="C25" s="69">
        <v>20</v>
      </c>
      <c r="D25" s="70">
        <v>0</v>
      </c>
      <c r="E25" s="71">
        <f>C25*D25</f>
        <v>0</v>
      </c>
      <c r="F25" t="s">
        <v>46</v>
      </c>
    </row>
    <row r="26" spans="1:8" ht="15" customHeight="1" thickBot="1">
      <c r="A26" s="109">
        <v>8.1</v>
      </c>
      <c r="B26" s="110" t="s">
        <v>47</v>
      </c>
      <c r="C26" s="111" t="s">
        <v>1</v>
      </c>
      <c r="D26" s="112" t="s">
        <v>1</v>
      </c>
      <c r="E26" s="113" t="s">
        <v>1</v>
      </c>
    </row>
    <row r="27" spans="1:8" ht="15" customHeight="1">
      <c r="A27" s="104">
        <v>9</v>
      </c>
      <c r="B27" s="105" t="s">
        <v>48</v>
      </c>
      <c r="C27" s="118" t="s">
        <v>1</v>
      </c>
      <c r="D27" s="107" t="s">
        <v>1</v>
      </c>
      <c r="E27" s="108">
        <v>810</v>
      </c>
      <c r="H27" s="153"/>
    </row>
    <row r="28" spans="1:8" ht="15" customHeight="1" thickBot="1">
      <c r="A28" s="119">
        <v>9.1</v>
      </c>
      <c r="B28" s="120" t="s">
        <v>49</v>
      </c>
      <c r="C28" s="121" t="s">
        <v>1</v>
      </c>
      <c r="D28" s="122" t="s">
        <v>1</v>
      </c>
      <c r="E28" s="113" t="s">
        <v>1</v>
      </c>
    </row>
    <row r="29" spans="1:8" ht="15" customHeight="1">
      <c r="A29" s="123" t="s">
        <v>1</v>
      </c>
      <c r="B29" s="124" t="s">
        <v>50</v>
      </c>
      <c r="C29" s="127">
        <v>20</v>
      </c>
      <c r="D29" s="125">
        <f>SUM(D25,D24,D23,D22,D20,D16,D10,D6)</f>
        <v>295</v>
      </c>
      <c r="E29" s="126">
        <f>D29*C29</f>
        <v>5900</v>
      </c>
    </row>
    <row r="30" spans="1:8" ht="15" customHeight="1">
      <c r="A30" s="123" t="s">
        <v>1</v>
      </c>
      <c r="B30" s="124" t="s">
        <v>51</v>
      </c>
      <c r="C30" s="127">
        <v>20</v>
      </c>
      <c r="D30" s="128">
        <f>D29*10%</f>
        <v>29.5</v>
      </c>
      <c r="E30" s="126">
        <f>D30*C30</f>
        <v>590</v>
      </c>
    </row>
    <row r="31" spans="1:8" ht="15" customHeight="1" thickBot="1">
      <c r="A31" s="129" t="s">
        <v>1</v>
      </c>
      <c r="B31" s="130" t="s">
        <v>52</v>
      </c>
      <c r="C31" s="131" t="s">
        <v>1</v>
      </c>
      <c r="D31" s="132">
        <f>SUM(D29:D30)</f>
        <v>324.5</v>
      </c>
      <c r="E31" s="133">
        <f>SUM(E27:E30)</f>
        <v>7300</v>
      </c>
    </row>
    <row r="32" spans="1:8" ht="15" customHeight="1">
      <c r="A32" s="134" t="s">
        <v>1</v>
      </c>
      <c r="B32" s="59"/>
      <c r="C32" s="59"/>
      <c r="D32" s="59"/>
      <c r="E32" s="60" t="s">
        <v>1</v>
      </c>
    </row>
    <row r="33" spans="1:5" ht="15" customHeight="1" thickBot="1">
      <c r="A33" s="134" t="s">
        <v>1</v>
      </c>
      <c r="B33" s="59"/>
      <c r="C33" s="59"/>
      <c r="D33" s="59"/>
      <c r="E33" s="60" t="s">
        <v>1</v>
      </c>
    </row>
    <row r="34" spans="1:5" ht="15" customHeight="1" thickBot="1">
      <c r="A34" s="214" t="s">
        <v>53</v>
      </c>
      <c r="B34" s="215"/>
      <c r="C34" s="215"/>
      <c r="D34" s="215"/>
      <c r="E34" s="216"/>
    </row>
  </sheetData>
  <mergeCells count="4">
    <mergeCell ref="A1:E1"/>
    <mergeCell ref="A3:E3"/>
    <mergeCell ref="A34:E34"/>
    <mergeCell ref="G9:K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7"/>
  <sheetViews>
    <sheetView workbookViewId="0">
      <pane ySplit="3" topLeftCell="A59" activePane="bottomLeft" state="frozen"/>
      <selection pane="bottomLeft" activeCell="C17" sqref="C17"/>
    </sheetView>
  </sheetViews>
  <sheetFormatPr defaultColWidth="8.75" defaultRowHeight="14.1"/>
  <cols>
    <col min="1" max="1" width="89.375" style="4" customWidth="1"/>
    <col min="2" max="2" width="15.25" style="4" customWidth="1"/>
    <col min="3" max="3" width="13.75" style="4" customWidth="1"/>
    <col min="4" max="4" width="20.25" style="4" customWidth="1"/>
    <col min="5" max="5" width="59.25" style="4" customWidth="1"/>
    <col min="6" max="16384" width="8.75" style="4"/>
  </cols>
  <sheetData>
    <row r="1" spans="1:5">
      <c r="A1" s="5" t="s">
        <v>99</v>
      </c>
      <c r="B1" s="6"/>
      <c r="C1" s="6"/>
      <c r="D1" s="6"/>
      <c r="E1" s="7"/>
    </row>
    <row r="2" spans="1:5">
      <c r="A2" s="8" t="s">
        <v>100</v>
      </c>
      <c r="B2" s="8" t="s">
        <v>7</v>
      </c>
      <c r="C2" s="9" t="s">
        <v>101</v>
      </c>
      <c r="D2" s="9" t="s">
        <v>8</v>
      </c>
      <c r="E2" s="8" t="s">
        <v>102</v>
      </c>
    </row>
    <row r="3" spans="1:5">
      <c r="A3" s="8" t="s">
        <v>103</v>
      </c>
      <c r="B3" s="22"/>
      <c r="C3" s="23"/>
      <c r="D3" s="23"/>
      <c r="E3" s="8"/>
    </row>
    <row r="4" spans="1:5" ht="15">
      <c r="A4" s="10" t="s">
        <v>104</v>
      </c>
      <c r="B4" s="24">
        <v>16</v>
      </c>
      <c r="C4" s="25">
        <v>0</v>
      </c>
      <c r="D4" s="25">
        <f t="shared" ref="D4" si="0">B4*C4</f>
        <v>0</v>
      </c>
      <c r="E4" s="8" t="s">
        <v>46</v>
      </c>
    </row>
    <row r="5" spans="1:5" ht="15">
      <c r="A5" s="10" t="s">
        <v>105</v>
      </c>
      <c r="B5" s="24">
        <v>8</v>
      </c>
      <c r="C5" s="25">
        <v>0</v>
      </c>
      <c r="D5" s="25">
        <f t="shared" ref="D5" si="1">B5*C5</f>
        <v>0</v>
      </c>
      <c r="E5" s="8" t="s">
        <v>46</v>
      </c>
    </row>
    <row r="6" spans="1:5" ht="15">
      <c r="A6" s="10" t="s">
        <v>106</v>
      </c>
      <c r="B6" s="24">
        <v>8</v>
      </c>
      <c r="C6" s="25">
        <v>0</v>
      </c>
      <c r="D6" s="25">
        <f t="shared" ref="D6" si="2">B6*C6</f>
        <v>0</v>
      </c>
      <c r="E6" s="8" t="s">
        <v>46</v>
      </c>
    </row>
    <row r="7" spans="1:5" ht="15">
      <c r="A7" s="10"/>
      <c r="B7" s="24"/>
      <c r="C7" s="25"/>
      <c r="D7" s="25"/>
      <c r="E7" s="8"/>
    </row>
    <row r="8" spans="1:5" ht="15">
      <c r="A8" s="158" t="s">
        <v>107</v>
      </c>
      <c r="B8" s="24"/>
      <c r="C8" s="25"/>
      <c r="D8" s="25"/>
      <c r="E8" s="8"/>
    </row>
    <row r="9" spans="1:5" ht="15">
      <c r="A9" s="10" t="s">
        <v>17</v>
      </c>
      <c r="B9" s="24">
        <v>24</v>
      </c>
      <c r="C9" s="25">
        <v>20</v>
      </c>
      <c r="D9" s="25">
        <f t="shared" ref="D9:D10" si="3">B9*C9</f>
        <v>480</v>
      </c>
      <c r="E9" s="8"/>
    </row>
    <row r="10" spans="1:5" ht="15">
      <c r="A10" s="10" t="s">
        <v>20</v>
      </c>
      <c r="B10" s="24">
        <v>16</v>
      </c>
      <c r="C10" s="25">
        <v>20</v>
      </c>
      <c r="D10" s="25">
        <f t="shared" si="3"/>
        <v>320</v>
      </c>
      <c r="E10" s="8"/>
    </row>
    <row r="11" spans="1:5" ht="15">
      <c r="A11" s="10"/>
      <c r="B11" s="24"/>
      <c r="C11" s="25"/>
      <c r="D11" s="25"/>
      <c r="E11" s="8"/>
    </row>
    <row r="12" spans="1:5" ht="15">
      <c r="A12" s="10"/>
      <c r="B12" s="24"/>
      <c r="C12" s="25"/>
      <c r="D12" s="25"/>
      <c r="E12" s="8"/>
    </row>
    <row r="13" spans="1:5" ht="14.45">
      <c r="A13" s="158" t="s">
        <v>108</v>
      </c>
      <c r="B13" s="26"/>
      <c r="C13" s="27"/>
      <c r="D13" s="27"/>
      <c r="E13" s="8"/>
    </row>
    <row r="14" spans="1:5" ht="99">
      <c r="A14" s="11" t="s">
        <v>109</v>
      </c>
      <c r="B14" s="26">
        <v>100</v>
      </c>
      <c r="C14" s="25">
        <v>20</v>
      </c>
      <c r="D14" s="25">
        <f t="shared" ref="D14:D23" si="4">B14*C14</f>
        <v>2000</v>
      </c>
      <c r="E14" s="8"/>
    </row>
    <row r="15" spans="1:5" ht="42">
      <c r="A15" s="11" t="s">
        <v>26</v>
      </c>
      <c r="B15" s="26">
        <v>8</v>
      </c>
      <c r="C15" s="25">
        <v>20</v>
      </c>
      <c r="D15" s="25">
        <f t="shared" si="4"/>
        <v>160</v>
      </c>
      <c r="E15" s="8"/>
    </row>
    <row r="16" spans="1:5" ht="14.45">
      <c r="A16" s="11" t="s">
        <v>27</v>
      </c>
      <c r="B16" s="26">
        <v>24</v>
      </c>
      <c r="C16" s="25">
        <v>20</v>
      </c>
      <c r="D16" s="25">
        <f t="shared" si="4"/>
        <v>480</v>
      </c>
      <c r="E16" s="8"/>
    </row>
    <row r="17" spans="1:5" ht="42">
      <c r="A17" s="11" t="s">
        <v>29</v>
      </c>
      <c r="B17" s="26">
        <v>8</v>
      </c>
      <c r="C17" s="25">
        <v>20</v>
      </c>
      <c r="D17" s="25">
        <f t="shared" si="4"/>
        <v>160</v>
      </c>
      <c r="E17" s="8"/>
    </row>
    <row r="18" spans="1:5" ht="56.1">
      <c r="A18" s="11" t="s">
        <v>30</v>
      </c>
      <c r="B18" s="26">
        <v>16</v>
      </c>
      <c r="C18" s="25">
        <v>20</v>
      </c>
      <c r="D18" s="25">
        <f t="shared" si="4"/>
        <v>320</v>
      </c>
      <c r="E18" s="8"/>
    </row>
    <row r="19" spans="1:5" ht="14.45">
      <c r="A19" s="12"/>
      <c r="B19" s="26"/>
      <c r="C19" s="25"/>
      <c r="D19" s="25"/>
      <c r="E19" s="8"/>
    </row>
    <row r="20" spans="1:5" ht="14.45">
      <c r="A20" s="8" t="s">
        <v>110</v>
      </c>
      <c r="B20" s="26"/>
      <c r="C20" s="25"/>
      <c r="D20" s="25"/>
      <c r="E20" s="8"/>
    </row>
    <row r="21" spans="1:5" ht="14.45">
      <c r="A21" s="12" t="s">
        <v>111</v>
      </c>
      <c r="B21" s="26">
        <v>24</v>
      </c>
      <c r="C21" s="25">
        <v>20</v>
      </c>
      <c r="D21" s="25">
        <f t="shared" si="4"/>
        <v>480</v>
      </c>
      <c r="E21" s="8"/>
    </row>
    <row r="22" spans="1:5" ht="14.45">
      <c r="A22" s="13" t="s">
        <v>112</v>
      </c>
      <c r="B22" s="26">
        <v>24</v>
      </c>
      <c r="C22" s="25">
        <v>20</v>
      </c>
      <c r="D22" s="25">
        <f t="shared" si="4"/>
        <v>480</v>
      </c>
      <c r="E22" s="8"/>
    </row>
    <row r="23" spans="1:5" ht="14.45">
      <c r="A23" s="13" t="s">
        <v>113</v>
      </c>
      <c r="B23" s="26">
        <v>16</v>
      </c>
      <c r="C23" s="25">
        <v>20</v>
      </c>
      <c r="D23" s="25">
        <f t="shared" si="4"/>
        <v>320</v>
      </c>
      <c r="E23" s="8"/>
    </row>
    <row r="24" spans="1:5" ht="14.45">
      <c r="A24" s="12"/>
      <c r="B24" s="26"/>
      <c r="C24" s="25"/>
      <c r="D24" s="25"/>
      <c r="E24" s="8"/>
    </row>
    <row r="25" spans="1:5" ht="14.45">
      <c r="A25" s="8" t="s">
        <v>114</v>
      </c>
      <c r="B25" s="26"/>
      <c r="C25" s="25"/>
      <c r="D25" s="25"/>
      <c r="E25" s="8"/>
    </row>
    <row r="26" spans="1:5" ht="14.45">
      <c r="A26" s="11" t="s">
        <v>115</v>
      </c>
      <c r="B26" s="26">
        <v>64</v>
      </c>
      <c r="C26" s="25">
        <v>20</v>
      </c>
      <c r="D26" s="25">
        <f>B26*C26</f>
        <v>1280</v>
      </c>
      <c r="E26" s="8"/>
    </row>
    <row r="27" spans="1:5" ht="14.45">
      <c r="A27" s="11" t="s">
        <v>116</v>
      </c>
      <c r="B27" s="26">
        <v>16</v>
      </c>
      <c r="C27" s="25">
        <v>20</v>
      </c>
      <c r="D27" s="25">
        <f>B27*C27</f>
        <v>320</v>
      </c>
      <c r="E27" s="8"/>
    </row>
    <row r="28" spans="1:5" ht="15">
      <c r="A28" s="11"/>
      <c r="B28" s="26"/>
      <c r="C28" s="28"/>
      <c r="D28" s="25"/>
      <c r="E28" s="8"/>
    </row>
    <row r="29" spans="1:5" ht="14.45">
      <c r="A29" s="8" t="s">
        <v>117</v>
      </c>
      <c r="B29" s="26"/>
      <c r="C29" s="25"/>
      <c r="D29" s="25"/>
      <c r="E29" s="8"/>
    </row>
    <row r="30" spans="1:5" ht="14.45">
      <c r="A30" s="11" t="s">
        <v>118</v>
      </c>
      <c r="B30" s="26">
        <v>80</v>
      </c>
      <c r="C30" s="25">
        <v>20</v>
      </c>
      <c r="D30" s="25">
        <f>B30*C30</f>
        <v>1600</v>
      </c>
      <c r="E30" s="8"/>
    </row>
    <row r="31" spans="1:5" ht="14.45">
      <c r="A31" s="11" t="s">
        <v>119</v>
      </c>
      <c r="B31" s="26">
        <v>16</v>
      </c>
      <c r="C31" s="25">
        <v>20</v>
      </c>
      <c r="D31" s="25">
        <f>B31*C31</f>
        <v>320</v>
      </c>
      <c r="E31" s="8"/>
    </row>
    <row r="32" spans="1:5" ht="14.45">
      <c r="A32" s="11" t="s">
        <v>120</v>
      </c>
      <c r="B32" s="26">
        <v>16</v>
      </c>
      <c r="C32" s="25">
        <v>20</v>
      </c>
      <c r="D32" s="25">
        <f>B32*C32</f>
        <v>320</v>
      </c>
      <c r="E32" s="8"/>
    </row>
    <row r="33" spans="1:5" ht="14.45">
      <c r="A33" s="11"/>
      <c r="B33" s="26"/>
      <c r="C33" s="25"/>
      <c r="D33" s="25"/>
      <c r="E33" s="8"/>
    </row>
    <row r="34" spans="1:5" ht="14.45">
      <c r="A34" s="158" t="s">
        <v>121</v>
      </c>
      <c r="B34" s="26"/>
      <c r="C34" s="25"/>
      <c r="D34" s="25"/>
      <c r="E34" s="8"/>
    </row>
    <row r="35" spans="1:5" ht="14.45">
      <c r="A35" s="11" t="s">
        <v>33</v>
      </c>
      <c r="B35" s="26">
        <v>8</v>
      </c>
      <c r="C35" s="25">
        <v>20</v>
      </c>
      <c r="D35" s="25">
        <f>B35*C35</f>
        <v>160</v>
      </c>
      <c r="E35" s="8"/>
    </row>
    <row r="36" spans="1:5" ht="14.45">
      <c r="A36" s="11" t="s">
        <v>35</v>
      </c>
      <c r="B36" s="26">
        <v>8</v>
      </c>
      <c r="C36" s="25">
        <v>20</v>
      </c>
      <c r="D36" s="25">
        <f t="shared" ref="D36:D40" si="5">B36*C36</f>
        <v>160</v>
      </c>
      <c r="E36" s="8"/>
    </row>
    <row r="37" spans="1:5" ht="14.45">
      <c r="A37" s="11" t="s">
        <v>38</v>
      </c>
      <c r="B37" s="26">
        <v>4</v>
      </c>
      <c r="C37" s="25">
        <v>20</v>
      </c>
      <c r="D37" s="25">
        <f t="shared" si="5"/>
        <v>80</v>
      </c>
      <c r="E37" s="8"/>
    </row>
    <row r="38" spans="1:5" ht="14.45">
      <c r="A38" s="11"/>
      <c r="B38" s="26"/>
      <c r="C38" s="25"/>
      <c r="D38" s="25"/>
      <c r="E38" s="8"/>
    </row>
    <row r="39" spans="1:5" ht="14.45">
      <c r="A39" s="158" t="s">
        <v>122</v>
      </c>
      <c r="B39" s="26">
        <v>24</v>
      </c>
      <c r="C39" s="25">
        <v>20</v>
      </c>
      <c r="D39" s="25">
        <f t="shared" si="5"/>
        <v>480</v>
      </c>
      <c r="E39" s="8"/>
    </row>
    <row r="40" spans="1:5" ht="14.45">
      <c r="A40" s="158" t="s">
        <v>123</v>
      </c>
      <c r="B40" s="26">
        <v>16</v>
      </c>
      <c r="C40" s="25">
        <v>20</v>
      </c>
      <c r="D40" s="25">
        <f t="shared" si="5"/>
        <v>320</v>
      </c>
      <c r="E40" s="8"/>
    </row>
    <row r="41" spans="1:5" ht="14.45">
      <c r="A41" s="11"/>
      <c r="B41" s="26"/>
      <c r="C41" s="25"/>
      <c r="D41" s="25"/>
      <c r="E41" s="8"/>
    </row>
    <row r="42" spans="1:5" ht="14.45">
      <c r="A42" s="11"/>
      <c r="B42" s="26"/>
      <c r="C42" s="25"/>
      <c r="D42" s="25"/>
      <c r="E42" s="8"/>
    </row>
    <row r="43" spans="1:5" ht="14.45">
      <c r="A43" s="8" t="s">
        <v>124</v>
      </c>
      <c r="B43" s="26"/>
      <c r="C43" s="25"/>
      <c r="D43" s="25"/>
      <c r="E43" s="8"/>
    </row>
    <row r="44" spans="1:5" ht="14.45">
      <c r="A44" s="11" t="s">
        <v>125</v>
      </c>
      <c r="B44" s="26">
        <v>8</v>
      </c>
      <c r="C44" s="25">
        <v>20</v>
      </c>
      <c r="D44" s="25">
        <f>B44*C44</f>
        <v>160</v>
      </c>
      <c r="E44" s="8"/>
    </row>
    <row r="45" spans="1:5" ht="14.45">
      <c r="A45" s="11"/>
      <c r="B45" s="26"/>
      <c r="C45" s="26"/>
      <c r="D45" s="27"/>
      <c r="E45" s="8"/>
    </row>
    <row r="46" spans="1:5" ht="14.45">
      <c r="A46" s="8" t="s">
        <v>126</v>
      </c>
      <c r="B46" s="26"/>
      <c r="C46" s="29"/>
      <c r="D46" s="29"/>
      <c r="E46" s="8"/>
    </row>
    <row r="47" spans="1:5" ht="14.45">
      <c r="A47" s="11" t="s">
        <v>127</v>
      </c>
      <c r="B47" s="26">
        <v>12</v>
      </c>
      <c r="C47" s="25">
        <v>20</v>
      </c>
      <c r="D47" s="25">
        <f>B47*C47</f>
        <v>240</v>
      </c>
      <c r="E47" s="8"/>
    </row>
    <row r="48" spans="1:5" ht="14.45">
      <c r="A48" s="11" t="s">
        <v>128</v>
      </c>
      <c r="B48" s="26">
        <v>64</v>
      </c>
      <c r="C48" s="25">
        <v>10</v>
      </c>
      <c r="D48" s="25">
        <f>B48*C48</f>
        <v>640</v>
      </c>
      <c r="E48" s="8"/>
    </row>
    <row r="49" spans="1:5" ht="14.45">
      <c r="A49" s="14"/>
      <c r="B49" s="26"/>
      <c r="C49" s="25"/>
      <c r="D49" s="25"/>
      <c r="E49" s="8"/>
    </row>
    <row r="50" spans="1:5" ht="15">
      <c r="A50" s="8" t="s">
        <v>44</v>
      </c>
      <c r="B50" s="26">
        <v>16</v>
      </c>
      <c r="C50" s="30" t="s">
        <v>46</v>
      </c>
      <c r="D50" s="31">
        <f>SUM(C62:C63)</f>
        <v>0</v>
      </c>
      <c r="E50" s="8"/>
    </row>
    <row r="51" spans="1:5" ht="15">
      <c r="A51" s="11"/>
      <c r="B51" s="26"/>
      <c r="C51" s="32"/>
      <c r="D51" s="32"/>
      <c r="E51" s="8"/>
    </row>
    <row r="52" spans="1:5" ht="15">
      <c r="A52" s="15"/>
      <c r="B52" s="26"/>
      <c r="C52" s="33"/>
      <c r="D52" s="33"/>
      <c r="E52" s="8"/>
    </row>
    <row r="53" spans="1:5" ht="14.45">
      <c r="A53" s="16" t="s">
        <v>129</v>
      </c>
      <c r="B53" s="26">
        <f>761*0.1</f>
        <v>76.100000000000009</v>
      </c>
      <c r="C53" s="25">
        <v>20</v>
      </c>
      <c r="D53" s="25">
        <f>B53*C53</f>
        <v>1522.0000000000002</v>
      </c>
      <c r="E53" s="8"/>
    </row>
    <row r="54" spans="1:5" ht="15">
      <c r="A54" s="11"/>
      <c r="B54" s="26"/>
      <c r="C54" s="33"/>
      <c r="D54" s="33"/>
      <c r="E54" s="8"/>
    </row>
    <row r="55" spans="1:5" ht="15">
      <c r="A55" s="46" t="s">
        <v>23</v>
      </c>
      <c r="B55" s="34">
        <f>SUM(B4:B54)</f>
        <v>720.1</v>
      </c>
      <c r="C55" s="34"/>
      <c r="D55" s="35">
        <f>SUM(D4,D6:D54)</f>
        <v>12802</v>
      </c>
      <c r="E55" s="8"/>
    </row>
    <row r="56" spans="1:5" ht="15">
      <c r="B56" s="28"/>
      <c r="C56" s="28"/>
      <c r="D56" s="28"/>
    </row>
    <row r="57" spans="1:5" ht="15">
      <c r="B57" s="28"/>
      <c r="C57" s="28"/>
      <c r="D57" s="28"/>
    </row>
    <row r="58" spans="1:5" ht="15">
      <c r="A58" s="16" t="s">
        <v>129</v>
      </c>
      <c r="B58" s="36"/>
      <c r="C58" s="36"/>
      <c r="D58" s="36"/>
      <c r="E58" s="8"/>
    </row>
    <row r="59" spans="1:5" ht="15">
      <c r="A59" s="17" t="s">
        <v>130</v>
      </c>
      <c r="B59" s="36">
        <f>B57*0.2</f>
        <v>0</v>
      </c>
      <c r="C59" s="36"/>
      <c r="D59" s="36"/>
      <c r="E59" s="8"/>
    </row>
    <row r="60" spans="1:5" ht="15">
      <c r="A60" s="17" t="s">
        <v>131</v>
      </c>
      <c r="B60" s="36">
        <f>B57*0.2</f>
        <v>0</v>
      </c>
      <c r="C60" s="36"/>
      <c r="D60" s="36"/>
      <c r="E60" s="8"/>
    </row>
    <row r="61" spans="1:5" ht="15">
      <c r="A61" s="18" t="s">
        <v>23</v>
      </c>
      <c r="B61" s="37">
        <f>SUM(B57:B60)</f>
        <v>0</v>
      </c>
      <c r="C61" s="37"/>
      <c r="D61" s="38"/>
      <c r="E61" s="8"/>
    </row>
    <row r="62" spans="1:5" ht="15">
      <c r="A62" s="19"/>
      <c r="B62" s="39"/>
      <c r="C62" s="39"/>
      <c r="D62" s="39"/>
      <c r="E62" s="19"/>
    </row>
    <row r="63" spans="1:5" ht="15">
      <c r="A63" s="161" t="s">
        <v>132</v>
      </c>
      <c r="B63" s="40"/>
      <c r="C63" s="50"/>
      <c r="D63" s="40"/>
      <c r="E63" s="20"/>
    </row>
    <row r="64" spans="1:5" ht="28.9" customHeight="1">
      <c r="A64" s="231" t="s">
        <v>133</v>
      </c>
      <c r="B64" s="160" t="s">
        <v>134</v>
      </c>
      <c r="C64" s="47"/>
      <c r="D64" s="48">
        <v>1000</v>
      </c>
      <c r="E64" s="21"/>
    </row>
    <row r="65" spans="1:5" ht="28.9" customHeight="1">
      <c r="A65" s="232"/>
      <c r="B65" s="163" t="s">
        <v>135</v>
      </c>
      <c r="C65" s="51"/>
      <c r="D65" s="49">
        <v>400</v>
      </c>
      <c r="E65" s="8"/>
    </row>
    <row r="66" spans="1:5" ht="28.9" customHeight="1">
      <c r="A66" s="233"/>
      <c r="B66" s="164" t="s">
        <v>136</v>
      </c>
      <c r="C66" s="162"/>
      <c r="D66" s="159">
        <v>1500</v>
      </c>
      <c r="E66" s="56"/>
    </row>
    <row r="67" spans="1:5" ht="15">
      <c r="A67" s="54" t="s">
        <v>23</v>
      </c>
      <c r="B67" s="55"/>
      <c r="C67" s="165"/>
      <c r="D67" s="166">
        <f>SUM(D64:D66)</f>
        <v>2900</v>
      </c>
      <c r="E67" s="56" t="s">
        <v>137</v>
      </c>
    </row>
    <row r="68" spans="1:5" s="52" customFormat="1" ht="15.6" thickBot="1">
      <c r="A68" s="178"/>
      <c r="B68" s="179"/>
      <c r="C68" s="180"/>
      <c r="D68" s="181"/>
      <c r="E68" s="53"/>
    </row>
    <row r="69" spans="1:5" ht="21.6" thickBot="1">
      <c r="A69" s="182" t="s">
        <v>138</v>
      </c>
      <c r="B69" s="183"/>
      <c r="C69" s="184"/>
      <c r="D69" s="185">
        <f>SUM(D55,D67)</f>
        <v>15702</v>
      </c>
    </row>
    <row r="71" spans="1:5">
      <c r="A71" s="41" t="s">
        <v>139</v>
      </c>
      <c r="B71" s="44"/>
      <c r="C71" s="44"/>
      <c r="D71" s="44"/>
      <c r="E71" s="44"/>
    </row>
    <row r="72" spans="1:5">
      <c r="A72" s="16" t="s">
        <v>140</v>
      </c>
      <c r="E72" s="45"/>
    </row>
    <row r="73" spans="1:5">
      <c r="A73" s="42" t="s">
        <v>141</v>
      </c>
      <c r="E73" s="45"/>
    </row>
    <row r="74" spans="1:5">
      <c r="A74" s="42" t="s">
        <v>142</v>
      </c>
      <c r="E74" s="45"/>
    </row>
    <row r="75" spans="1:5">
      <c r="A75" s="42" t="s">
        <v>143</v>
      </c>
      <c r="E75" s="45"/>
    </row>
    <row r="76" spans="1:5">
      <c r="A76" s="42" t="s">
        <v>144</v>
      </c>
      <c r="E76" s="45"/>
    </row>
    <row r="77" spans="1:5">
      <c r="A77" s="43"/>
      <c r="E77" s="45"/>
    </row>
    <row r="78" spans="1:5">
      <c r="A78" s="16" t="s">
        <v>145</v>
      </c>
      <c r="E78" s="45"/>
    </row>
    <row r="79" spans="1:5">
      <c r="A79" s="42" t="s">
        <v>146</v>
      </c>
      <c r="E79" s="45"/>
    </row>
    <row r="80" spans="1:5">
      <c r="A80" s="42" t="s">
        <v>147</v>
      </c>
      <c r="E80" s="45"/>
    </row>
    <row r="81" spans="1:5">
      <c r="A81" s="42" t="s">
        <v>148</v>
      </c>
      <c r="E81" s="45"/>
    </row>
    <row r="82" spans="1:5">
      <c r="A82" s="42" t="s">
        <v>149</v>
      </c>
      <c r="E82" s="45"/>
    </row>
    <row r="83" spans="1:5">
      <c r="A83" s="42" t="s">
        <v>150</v>
      </c>
      <c r="E83" s="45"/>
    </row>
    <row r="84" spans="1:5">
      <c r="A84" s="43"/>
      <c r="E84" s="45"/>
    </row>
    <row r="85" spans="1:5">
      <c r="A85" s="16" t="s">
        <v>151</v>
      </c>
      <c r="B85" s="44"/>
      <c r="C85" s="44"/>
      <c r="D85" s="44"/>
      <c r="E85" s="45"/>
    </row>
    <row r="86" spans="1:5" ht="56.1">
      <c r="A86" s="43" t="s">
        <v>152</v>
      </c>
      <c r="E86" s="45"/>
    </row>
    <row r="87" spans="1:5" ht="42">
      <c r="A87" s="43" t="s">
        <v>153</v>
      </c>
      <c r="E87" s="45"/>
    </row>
  </sheetData>
  <mergeCells count="1">
    <mergeCell ref="A64:A6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F9583-BD9D-4620-8994-8928781FEA21}">
  <dimension ref="A3:C43"/>
  <sheetViews>
    <sheetView topLeftCell="A18" workbookViewId="0">
      <selection activeCell="B24" sqref="B24"/>
    </sheetView>
  </sheetViews>
  <sheetFormatPr defaultRowHeight="13.5"/>
  <cols>
    <col min="1" max="1" width="63.125" bestFit="1" customWidth="1"/>
    <col min="3" max="3" width="45.5" customWidth="1"/>
  </cols>
  <sheetData>
    <row r="3" spans="1:3">
      <c r="A3" s="202" t="s">
        <v>154</v>
      </c>
      <c r="B3" s="202" t="s">
        <v>155</v>
      </c>
      <c r="C3" s="202" t="s">
        <v>156</v>
      </c>
    </row>
    <row r="4" spans="1:3" ht="15">
      <c r="A4" s="42" t="s">
        <v>157</v>
      </c>
      <c r="B4" s="197" t="s">
        <v>46</v>
      </c>
      <c r="C4" s="42"/>
    </row>
    <row r="5" spans="1:3" ht="15">
      <c r="A5" s="196" t="s">
        <v>158</v>
      </c>
      <c r="B5" s="48">
        <v>800</v>
      </c>
      <c r="C5" s="42"/>
    </row>
    <row r="6" spans="1:3" ht="15">
      <c r="A6" s="42" t="s">
        <v>159</v>
      </c>
      <c r="B6" s="48">
        <v>3520</v>
      </c>
      <c r="C6" s="42" t="s">
        <v>160</v>
      </c>
    </row>
    <row r="7" spans="1:3" ht="15">
      <c r="A7" s="42" t="s">
        <v>161</v>
      </c>
      <c r="B7" s="48">
        <v>5120</v>
      </c>
      <c r="C7" s="42"/>
    </row>
    <row r="8" spans="1:3" ht="15">
      <c r="A8" s="42" t="s">
        <v>162</v>
      </c>
      <c r="B8" s="48">
        <v>1600</v>
      </c>
      <c r="C8" s="42"/>
    </row>
    <row r="9" spans="1:3" ht="15">
      <c r="A9" s="42" t="s">
        <v>163</v>
      </c>
      <c r="B9" s="48">
        <v>800</v>
      </c>
      <c r="C9" s="42"/>
    </row>
    <row r="10" spans="1:3" ht="15">
      <c r="A10" s="42" t="s">
        <v>164</v>
      </c>
      <c r="B10" s="197" t="s">
        <v>46</v>
      </c>
      <c r="C10" s="42"/>
    </row>
    <row r="11" spans="1:3" ht="15">
      <c r="A11" s="42" t="s">
        <v>165</v>
      </c>
      <c r="B11" s="197" t="s">
        <v>46</v>
      </c>
      <c r="C11" s="42"/>
    </row>
    <row r="12" spans="1:3" ht="15">
      <c r="A12" s="198" t="s">
        <v>166</v>
      </c>
      <c r="B12" s="199">
        <f>SUM(B4:B11)</f>
        <v>11840</v>
      </c>
      <c r="C12" s="198"/>
    </row>
    <row r="13" spans="1:3" ht="15">
      <c r="A13" s="42"/>
      <c r="B13" s="197"/>
      <c r="C13" s="42"/>
    </row>
    <row r="14" spans="1:3">
      <c r="A14" s="198" t="s">
        <v>167</v>
      </c>
      <c r="B14" s="199" t="s">
        <v>46</v>
      </c>
      <c r="C14" s="198"/>
    </row>
    <row r="15" spans="1:3" ht="15">
      <c r="A15" s="42"/>
      <c r="B15" s="197"/>
      <c r="C15" s="42"/>
    </row>
    <row r="16" spans="1:3" ht="15">
      <c r="A16" s="198" t="s">
        <v>168</v>
      </c>
      <c r="B16" s="199">
        <v>2900</v>
      </c>
      <c r="C16" s="198" t="s">
        <v>169</v>
      </c>
    </row>
    <row r="17" spans="1:3" ht="15">
      <c r="A17" s="42"/>
      <c r="B17" s="197"/>
      <c r="C17" s="42"/>
    </row>
    <row r="18" spans="1:3" ht="15">
      <c r="A18" s="200" t="s">
        <v>170</v>
      </c>
      <c r="B18" s="201">
        <f>B16+B12</f>
        <v>14740</v>
      </c>
      <c r="C18" s="200"/>
    </row>
    <row r="21" spans="1:3">
      <c r="A21" s="202" t="s">
        <v>154</v>
      </c>
      <c r="B21" s="202" t="s">
        <v>155</v>
      </c>
      <c r="C21" s="202" t="s">
        <v>156</v>
      </c>
    </row>
    <row r="22" spans="1:3" ht="15">
      <c r="A22" s="42" t="s">
        <v>157</v>
      </c>
      <c r="B22" s="48">
        <v>5000</v>
      </c>
      <c r="C22" s="42"/>
    </row>
    <row r="23" spans="1:3" ht="15">
      <c r="A23" s="196" t="s">
        <v>158</v>
      </c>
      <c r="B23" s="48">
        <f>800*3</f>
        <v>2400</v>
      </c>
      <c r="C23" s="42"/>
    </row>
    <row r="24" spans="1:3" ht="15">
      <c r="A24" s="42" t="s">
        <v>171</v>
      </c>
      <c r="B24" s="48">
        <f>19*2000</f>
        <v>38000</v>
      </c>
      <c r="C24" s="42"/>
    </row>
    <row r="25" spans="1:3" ht="15">
      <c r="A25" s="42" t="s">
        <v>161</v>
      </c>
      <c r="B25" s="48">
        <f>5120*3</f>
        <v>15360</v>
      </c>
      <c r="C25" s="42"/>
    </row>
    <row r="26" spans="1:3" ht="15">
      <c r="A26" s="42" t="s">
        <v>162</v>
      </c>
      <c r="B26" s="48">
        <f>1600*5</f>
        <v>8000</v>
      </c>
      <c r="C26" s="42"/>
    </row>
    <row r="27" spans="1:3" ht="15">
      <c r="A27" s="42" t="s">
        <v>172</v>
      </c>
      <c r="B27" s="48">
        <f>2*3000*1.5</f>
        <v>9000</v>
      </c>
      <c r="C27" s="42"/>
    </row>
    <row r="28" spans="1:3" ht="15">
      <c r="A28" s="42" t="s">
        <v>163</v>
      </c>
      <c r="B28" s="48">
        <f>800*5</f>
        <v>4000</v>
      </c>
      <c r="C28" s="42"/>
    </row>
    <row r="29" spans="1:3" ht="15">
      <c r="A29" s="42" t="s">
        <v>164</v>
      </c>
      <c r="B29" s="197" t="s">
        <v>46</v>
      </c>
      <c r="C29" s="42"/>
    </row>
    <row r="30" spans="1:3" ht="15">
      <c r="A30" s="42" t="s">
        <v>165</v>
      </c>
      <c r="B30" s="48">
        <f>5%*77000</f>
        <v>3850</v>
      </c>
      <c r="C30" s="42"/>
    </row>
    <row r="31" spans="1:3" ht="15">
      <c r="A31" s="198" t="s">
        <v>173</v>
      </c>
      <c r="B31" s="199">
        <f>SUM(B22:B30)</f>
        <v>85610</v>
      </c>
      <c r="C31" s="198"/>
    </row>
    <row r="32" spans="1:3" ht="15">
      <c r="A32" s="42"/>
      <c r="B32" s="197"/>
      <c r="C32" s="42"/>
    </row>
    <row r="33" spans="1:3">
      <c r="A33" s="198" t="s">
        <v>174</v>
      </c>
      <c r="B33" s="203">
        <f>1500*3</f>
        <v>4500</v>
      </c>
      <c r="C33" s="198"/>
    </row>
    <row r="34" spans="1:3" ht="15">
      <c r="A34" s="42"/>
      <c r="B34" s="197"/>
      <c r="C34" s="42"/>
    </row>
    <row r="35" spans="1:3" ht="15">
      <c r="A35" s="198" t="s">
        <v>168</v>
      </c>
      <c r="B35" s="199">
        <f>2900*6</f>
        <v>17400</v>
      </c>
      <c r="C35" s="204" t="s">
        <v>175</v>
      </c>
    </row>
    <row r="36" spans="1:3" ht="15">
      <c r="A36" s="42"/>
      <c r="B36" s="197"/>
      <c r="C36" s="42"/>
    </row>
    <row r="37" spans="1:3" ht="15">
      <c r="A37" s="200" t="s">
        <v>170</v>
      </c>
      <c r="B37" s="201">
        <f>B35+B31+B33</f>
        <v>107510</v>
      </c>
      <c r="C37" s="200"/>
    </row>
    <row r="40" spans="1:3">
      <c r="A40" t="s">
        <v>176</v>
      </c>
    </row>
    <row r="42" spans="1:3">
      <c r="A42" t="s">
        <v>177</v>
      </c>
      <c r="B42">
        <f>(4*3000)+(3*1500)</f>
        <v>16500</v>
      </c>
    </row>
    <row r="43" spans="1:3">
      <c r="A43" t="s">
        <v>178</v>
      </c>
      <c r="B43"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356AC-0B42-4B6E-A77F-5A73DCB4D61A}">
  <dimension ref="A1:J16"/>
  <sheetViews>
    <sheetView workbookViewId="0">
      <selection activeCell="C25" sqref="C25"/>
    </sheetView>
  </sheetViews>
  <sheetFormatPr defaultRowHeight="15" customHeight="1"/>
  <cols>
    <col min="2" max="2" width="53.125" customWidth="1"/>
    <col min="3" max="3" width="56" bestFit="1" customWidth="1"/>
    <col min="4" max="5" width="13.75" customWidth="1"/>
    <col min="6" max="6" width="49.125" customWidth="1"/>
  </cols>
  <sheetData>
    <row r="1" spans="1:10" ht="42" customHeight="1" thickBot="1">
      <c r="A1" s="217" t="s">
        <v>0</v>
      </c>
      <c r="B1" s="218"/>
      <c r="C1" s="218"/>
      <c r="D1" s="218"/>
      <c r="E1" s="218"/>
      <c r="F1" s="219"/>
    </row>
    <row r="2" spans="1:10" ht="15" customHeight="1">
      <c r="A2" s="220" t="s">
        <v>54</v>
      </c>
      <c r="B2" s="221"/>
      <c r="C2" s="221"/>
      <c r="D2" s="221"/>
      <c r="E2" s="221"/>
      <c r="F2" s="222"/>
    </row>
    <row r="3" spans="1:10" ht="43.5" customHeight="1">
      <c r="A3" s="148" t="s">
        <v>4</v>
      </c>
      <c r="B3" s="170" t="s">
        <v>55</v>
      </c>
      <c r="C3" s="145" t="s">
        <v>1</v>
      </c>
      <c r="D3" s="167" t="s">
        <v>56</v>
      </c>
      <c r="E3" s="173" t="s">
        <v>57</v>
      </c>
      <c r="F3" s="149" t="s">
        <v>1</v>
      </c>
    </row>
    <row r="4" spans="1:10" ht="15" customHeight="1">
      <c r="A4" s="147">
        <v>1</v>
      </c>
      <c r="B4" s="73" t="s">
        <v>64</v>
      </c>
      <c r="C4" s="146" t="s">
        <v>65</v>
      </c>
      <c r="D4" s="174">
        <v>120</v>
      </c>
      <c r="E4" s="175">
        <f>D4*2</f>
        <v>240</v>
      </c>
      <c r="F4" s="150" t="s">
        <v>66</v>
      </c>
    </row>
    <row r="5" spans="1:10" ht="15" customHeight="1">
      <c r="A5" s="147">
        <v>2</v>
      </c>
      <c r="B5" s="73" t="s">
        <v>69</v>
      </c>
      <c r="C5" s="146" t="s">
        <v>70</v>
      </c>
      <c r="D5" s="174">
        <v>100</v>
      </c>
      <c r="E5" s="175">
        <f t="shared" ref="E5:E8" si="0">D5*2</f>
        <v>200</v>
      </c>
      <c r="F5" s="150" t="s">
        <v>66</v>
      </c>
    </row>
    <row r="6" spans="1:10" ht="15" customHeight="1">
      <c r="A6" s="171">
        <v>3</v>
      </c>
      <c r="B6" s="73" t="s">
        <v>73</v>
      </c>
      <c r="C6" s="146" t="s">
        <v>74</v>
      </c>
      <c r="D6" s="174">
        <v>300</v>
      </c>
      <c r="E6" s="175">
        <f t="shared" si="0"/>
        <v>600</v>
      </c>
      <c r="F6" s="150" t="s">
        <v>66</v>
      </c>
    </row>
    <row r="7" spans="1:10" ht="15" customHeight="1">
      <c r="A7" s="171">
        <v>4</v>
      </c>
      <c r="B7" s="146" t="s">
        <v>77</v>
      </c>
      <c r="C7" s="73" t="s">
        <v>1</v>
      </c>
      <c r="D7" s="174">
        <v>20</v>
      </c>
      <c r="E7" s="175">
        <f t="shared" si="0"/>
        <v>40</v>
      </c>
      <c r="F7" s="150" t="s">
        <v>66</v>
      </c>
    </row>
    <row r="8" spans="1:10" ht="15" customHeight="1">
      <c r="A8" s="171">
        <v>5</v>
      </c>
      <c r="B8" s="73" t="s">
        <v>80</v>
      </c>
      <c r="C8" s="73" t="s">
        <v>1</v>
      </c>
      <c r="D8" s="174">
        <v>20</v>
      </c>
      <c r="E8" s="175">
        <f t="shared" si="0"/>
        <v>40</v>
      </c>
      <c r="F8" s="150" t="s">
        <v>66</v>
      </c>
    </row>
    <row r="9" spans="1:10" ht="15" customHeight="1">
      <c r="A9" s="171">
        <v>6</v>
      </c>
      <c r="B9" s="73" t="s">
        <v>83</v>
      </c>
      <c r="C9" s="73"/>
      <c r="D9" s="174">
        <v>80</v>
      </c>
      <c r="E9" s="175">
        <v>80</v>
      </c>
      <c r="F9" s="150" t="s">
        <v>84</v>
      </c>
    </row>
    <row r="10" spans="1:10" ht="15" customHeight="1">
      <c r="A10" s="171">
        <v>7</v>
      </c>
      <c r="B10" s="73" t="s">
        <v>87</v>
      </c>
      <c r="C10" s="73"/>
      <c r="D10" s="174">
        <v>60</v>
      </c>
      <c r="E10" s="175">
        <v>60</v>
      </c>
      <c r="F10" s="150" t="s">
        <v>84</v>
      </c>
      <c r="H10">
        <v>900</v>
      </c>
      <c r="I10">
        <f>H10*10</f>
        <v>9000</v>
      </c>
    </row>
    <row r="11" spans="1:10" ht="15" customHeight="1">
      <c r="A11" s="171">
        <v>8</v>
      </c>
      <c r="B11" s="73" t="s">
        <v>90</v>
      </c>
      <c r="C11" s="73"/>
      <c r="D11" s="174">
        <v>110</v>
      </c>
      <c r="E11" s="175">
        <v>220</v>
      </c>
      <c r="F11" s="150" t="s">
        <v>84</v>
      </c>
      <c r="H11">
        <v>900</v>
      </c>
      <c r="I11">
        <f>H11*300</f>
        <v>270000</v>
      </c>
      <c r="J11">
        <f>I11/3</f>
        <v>90000</v>
      </c>
    </row>
    <row r="12" spans="1:10" ht="15" customHeight="1">
      <c r="A12" s="168"/>
      <c r="B12" s="66"/>
      <c r="C12" s="66"/>
      <c r="D12" s="175"/>
      <c r="E12" s="175"/>
      <c r="F12" s="169"/>
    </row>
    <row r="13" spans="1:10" ht="15" customHeight="1">
      <c r="A13" s="168"/>
      <c r="B13" s="223" t="s">
        <v>92</v>
      </c>
      <c r="C13" s="224"/>
      <c r="D13" s="175"/>
      <c r="E13" s="175"/>
      <c r="F13" s="169"/>
    </row>
    <row r="14" spans="1:10" ht="15" customHeight="1">
      <c r="A14" s="168">
        <v>1</v>
      </c>
      <c r="B14" s="172" t="s">
        <v>93</v>
      </c>
      <c r="C14" s="66"/>
      <c r="D14" s="175"/>
      <c r="E14" s="175">
        <v>1000</v>
      </c>
      <c r="F14" s="169"/>
    </row>
    <row r="15" spans="1:10" ht="15" customHeight="1" thickBot="1">
      <c r="A15" s="168">
        <v>2</v>
      </c>
      <c r="B15" s="172" t="s">
        <v>94</v>
      </c>
      <c r="C15" s="66" t="s">
        <v>1</v>
      </c>
      <c r="D15" s="176"/>
      <c r="E15" s="176">
        <v>400</v>
      </c>
      <c r="F15" s="151" t="s">
        <v>1</v>
      </c>
    </row>
    <row r="16" spans="1:10" ht="15" customHeight="1" thickBot="1">
      <c r="A16" s="225" t="s">
        <v>95</v>
      </c>
      <c r="B16" s="226"/>
      <c r="C16" s="227"/>
      <c r="D16" s="177">
        <f>SUM(D4:D11)</f>
        <v>810</v>
      </c>
      <c r="E16" s="177">
        <f>SUM(E4:E15)</f>
        <v>2880</v>
      </c>
      <c r="F16" s="59"/>
    </row>
  </sheetData>
  <mergeCells count="4">
    <mergeCell ref="A1:F1"/>
    <mergeCell ref="A2:F2"/>
    <mergeCell ref="A16:C16"/>
    <mergeCell ref="B13:C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topLeftCell="A16" workbookViewId="0">
      <selection activeCell="A2" sqref="A2"/>
    </sheetView>
  </sheetViews>
  <sheetFormatPr defaultColWidth="8.875" defaultRowHeight="14.1"/>
  <cols>
    <col min="1" max="1" width="51.875" customWidth="1"/>
    <col min="2" max="2" width="63.125" customWidth="1"/>
    <col min="3" max="3" width="44.75" style="1" customWidth="1"/>
  </cols>
  <sheetData>
    <row r="1" spans="1:3" ht="14.45">
      <c r="A1" s="2" t="s">
        <v>58</v>
      </c>
      <c r="B1" s="2" t="s">
        <v>180</v>
      </c>
      <c r="C1" s="3" t="s">
        <v>181</v>
      </c>
    </row>
    <row r="2" spans="1:3" ht="14.45">
      <c r="A2" s="2" t="s">
        <v>182</v>
      </c>
      <c r="B2" s="2"/>
      <c r="C2" s="3"/>
    </row>
    <row r="3" spans="1:3" ht="14.45">
      <c r="A3" s="2" t="s">
        <v>183</v>
      </c>
      <c r="B3" s="2" t="s">
        <v>184</v>
      </c>
      <c r="C3" s="3" t="s">
        <v>185</v>
      </c>
    </row>
    <row r="4" spans="1:3" ht="43.15" customHeight="1">
      <c r="A4" s="234" t="s">
        <v>186</v>
      </c>
      <c r="B4" s="2" t="s">
        <v>187</v>
      </c>
      <c r="C4" s="235" t="s">
        <v>188</v>
      </c>
    </row>
    <row r="5" spans="1:3" ht="14.45">
      <c r="A5" s="234"/>
      <c r="B5" s="2" t="s">
        <v>189</v>
      </c>
      <c r="C5" s="235"/>
    </row>
    <row r="6" spans="1:3" ht="14.45">
      <c r="A6" s="234"/>
      <c r="B6" s="2" t="s">
        <v>190</v>
      </c>
      <c r="C6" s="235"/>
    </row>
    <row r="7" spans="1:3" ht="14.45">
      <c r="A7" s="234"/>
      <c r="B7" s="2" t="s">
        <v>191</v>
      </c>
      <c r="C7" s="235"/>
    </row>
    <row r="8" spans="1:3" ht="86.45" customHeight="1">
      <c r="A8" s="234" t="s">
        <v>192</v>
      </c>
      <c r="B8" s="2" t="s">
        <v>193</v>
      </c>
      <c r="C8" s="235" t="s">
        <v>194</v>
      </c>
    </row>
    <row r="9" spans="1:3" ht="14.45">
      <c r="A9" s="234"/>
      <c r="B9" s="2" t="s">
        <v>195</v>
      </c>
      <c r="C9" s="235"/>
    </row>
    <row r="10" spans="1:3" ht="57.6" customHeight="1">
      <c r="A10" s="234" t="s">
        <v>196</v>
      </c>
      <c r="B10" s="2" t="s">
        <v>197</v>
      </c>
      <c r="C10" s="235"/>
    </row>
    <row r="11" spans="1:3" ht="14.45">
      <c r="A11" s="234"/>
      <c r="B11" s="2" t="s">
        <v>198</v>
      </c>
      <c r="C11" s="235"/>
    </row>
    <row r="12" spans="1:3" ht="14.45">
      <c r="A12" s="234"/>
      <c r="B12" s="2" t="s">
        <v>199</v>
      </c>
      <c r="C12" s="235"/>
    </row>
    <row r="13" spans="1:3" ht="86.45" customHeight="1">
      <c r="A13" s="234" t="s">
        <v>182</v>
      </c>
      <c r="B13" s="2" t="s">
        <v>200</v>
      </c>
      <c r="C13" s="235" t="s">
        <v>201</v>
      </c>
    </row>
    <row r="14" spans="1:3" ht="14.45">
      <c r="A14" s="234"/>
      <c r="B14" s="2" t="s">
        <v>202</v>
      </c>
      <c r="C14" s="235"/>
    </row>
    <row r="15" spans="1:3" ht="43.15" customHeight="1">
      <c r="A15" s="234" t="s">
        <v>203</v>
      </c>
      <c r="B15" s="2" t="s">
        <v>204</v>
      </c>
      <c r="C15" s="3" t="s">
        <v>205</v>
      </c>
    </row>
    <row r="16" spans="1:3" ht="29.1">
      <c r="A16" s="234"/>
      <c r="B16" s="2" t="s">
        <v>206</v>
      </c>
      <c r="C16" s="3" t="s">
        <v>207</v>
      </c>
    </row>
    <row r="17" spans="1:3" ht="29.1">
      <c r="A17" s="234"/>
      <c r="B17" s="2" t="s">
        <v>208</v>
      </c>
      <c r="C17" s="3" t="s">
        <v>209</v>
      </c>
    </row>
    <row r="18" spans="1:3" ht="72" customHeight="1">
      <c r="A18" s="234" t="s">
        <v>210</v>
      </c>
      <c r="B18" s="2" t="s">
        <v>211</v>
      </c>
      <c r="C18" s="3" t="s">
        <v>212</v>
      </c>
    </row>
    <row r="19" spans="1:3" ht="14.45">
      <c r="A19" s="234"/>
      <c r="B19" s="2" t="s">
        <v>213</v>
      </c>
      <c r="C19" s="3" t="s">
        <v>214</v>
      </c>
    </row>
    <row r="20" spans="1:3" ht="14.45">
      <c r="A20" s="2" t="s">
        <v>215</v>
      </c>
      <c r="B20" s="2"/>
      <c r="C20" s="3"/>
    </row>
  </sheetData>
  <mergeCells count="10">
    <mergeCell ref="A18:A19"/>
    <mergeCell ref="C4:C7"/>
    <mergeCell ref="C8:C9"/>
    <mergeCell ref="C10:C12"/>
    <mergeCell ref="C13:C14"/>
    <mergeCell ref="A4:A7"/>
    <mergeCell ref="A8:A9"/>
    <mergeCell ref="A10:A12"/>
    <mergeCell ref="A13:A14"/>
    <mergeCell ref="A15:A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Radhakrishnan Veluchamy</dc:creator>
  <cp:keywords/>
  <dc:description/>
  <cp:lastModifiedBy>Suresh Kumar</cp:lastModifiedBy>
  <cp:revision/>
  <dcterms:created xsi:type="dcterms:W3CDTF">2024-10-30T09:00:00Z</dcterms:created>
  <dcterms:modified xsi:type="dcterms:W3CDTF">2025-10-13T09:16:38Z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1033-11.2.0.10017</vt:lpwstr>
  </property>
</Properties>
</file>